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\Documents\SharpDevelop Projects\Sciences-of-the-Quran\Quran Word Search\Quran Word Search\Files\Research\"/>
    </mc:Choice>
  </mc:AlternateContent>
  <xr:revisionPtr revIDLastSave="0" documentId="13_ncr:1_{99F72697-F6CD-4BD7-82AC-23AB12FB9B82}" xr6:coauthVersionLast="34" xr6:coauthVersionMax="34" xr10:uidLastSave="{00000000-0000-0000-0000-000000000000}"/>
  <bookViews>
    <workbookView xWindow="0" yWindow="0" windowWidth="10860" windowHeight="4920" xr2:uid="{8CFF2E1E-A0E7-409F-A868-20EFEA71E607}"/>
  </bookViews>
  <sheets>
    <sheet name="Sheet1" sheetId="1" r:id="rId1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8" i="1" l="1"/>
  <c r="D118" i="1"/>
  <c r="C119" i="1"/>
  <c r="D119" i="1"/>
  <c r="C120" i="1"/>
  <c r="D120" i="1"/>
  <c r="C121" i="1"/>
  <c r="D121" i="1"/>
  <c r="C122" i="1"/>
  <c r="D122" i="1"/>
  <c r="C124" i="1"/>
  <c r="D124" i="1"/>
  <c r="C125" i="1"/>
  <c r="D125" i="1"/>
  <c r="C126" i="1"/>
  <c r="D126" i="1"/>
  <c r="C127" i="1"/>
  <c r="D127" i="1"/>
  <c r="C128" i="1"/>
  <c r="C130" i="1" s="1"/>
  <c r="D128" i="1"/>
  <c r="D130" i="1"/>
  <c r="F3" i="1"/>
  <c r="F4" i="1"/>
  <c r="F12" i="1"/>
  <c r="F20" i="1"/>
  <c r="F28" i="1"/>
  <c r="F36" i="1"/>
  <c r="F44" i="1"/>
  <c r="F52" i="1"/>
  <c r="F60" i="1"/>
  <c r="F68" i="1"/>
  <c r="F76" i="1"/>
  <c r="F84" i="1"/>
  <c r="F92" i="1"/>
  <c r="F100" i="1"/>
  <c r="F108" i="1"/>
  <c r="F24" i="1"/>
  <c r="F40" i="1"/>
  <c r="F72" i="1"/>
  <c r="F104" i="1"/>
  <c r="F74" i="1"/>
  <c r="F114" i="1"/>
  <c r="F35" i="1"/>
  <c r="F75" i="1"/>
  <c r="F5" i="1"/>
  <c r="F13" i="1"/>
  <c r="F21" i="1"/>
  <c r="F29" i="1"/>
  <c r="F37" i="1"/>
  <c r="F45" i="1"/>
  <c r="F53" i="1"/>
  <c r="F61" i="1"/>
  <c r="F69" i="1"/>
  <c r="F77" i="1"/>
  <c r="F85" i="1"/>
  <c r="F93" i="1"/>
  <c r="F101" i="1"/>
  <c r="F109" i="1"/>
  <c r="F32" i="1"/>
  <c r="F56" i="1"/>
  <c r="F80" i="1"/>
  <c r="F112" i="1"/>
  <c r="F90" i="1"/>
  <c r="F43" i="1"/>
  <c r="F91" i="1"/>
  <c r="F6" i="1"/>
  <c r="F14" i="1"/>
  <c r="F22" i="1"/>
  <c r="F30" i="1"/>
  <c r="F38" i="1"/>
  <c r="F46" i="1"/>
  <c r="F54" i="1"/>
  <c r="F62" i="1"/>
  <c r="F70" i="1"/>
  <c r="F78" i="1"/>
  <c r="F86" i="1"/>
  <c r="F94" i="1"/>
  <c r="F102" i="1"/>
  <c r="F110" i="1"/>
  <c r="F16" i="1"/>
  <c r="F48" i="1"/>
  <c r="F88" i="1"/>
  <c r="F58" i="1"/>
  <c r="F11" i="1"/>
  <c r="F51" i="1"/>
  <c r="F99" i="1"/>
  <c r="F7" i="1"/>
  <c r="F15" i="1"/>
  <c r="F23" i="1"/>
  <c r="F31" i="1"/>
  <c r="F39" i="1"/>
  <c r="F47" i="1"/>
  <c r="F55" i="1"/>
  <c r="F63" i="1"/>
  <c r="F71" i="1"/>
  <c r="F79" i="1"/>
  <c r="F87" i="1"/>
  <c r="F95" i="1"/>
  <c r="F103" i="1"/>
  <c r="F111" i="1"/>
  <c r="F8" i="1"/>
  <c r="F64" i="1"/>
  <c r="F96" i="1"/>
  <c r="F66" i="1"/>
  <c r="F98" i="1"/>
  <c r="F19" i="1"/>
  <c r="F59" i="1"/>
  <c r="F107" i="1"/>
  <c r="F83" i="1"/>
  <c r="F9" i="1"/>
  <c r="F17" i="1"/>
  <c r="F25" i="1"/>
  <c r="F33" i="1"/>
  <c r="F41" i="1"/>
  <c r="F49" i="1"/>
  <c r="F57" i="1"/>
  <c r="F65" i="1"/>
  <c r="F73" i="1"/>
  <c r="F81" i="1"/>
  <c r="F89" i="1"/>
  <c r="F97" i="1"/>
  <c r="F105" i="1"/>
  <c r="F113" i="1"/>
  <c r="F10" i="1"/>
  <c r="F18" i="1"/>
  <c r="F26" i="1"/>
  <c r="F34" i="1"/>
  <c r="F42" i="1"/>
  <c r="F50" i="1"/>
  <c r="F82" i="1"/>
  <c r="F106" i="1"/>
  <c r="F27" i="1"/>
  <c r="F67" i="1"/>
  <c r="F115" i="1"/>
  <c r="F2" i="1"/>
  <c r="E3" i="1"/>
  <c r="E11" i="1"/>
  <c r="E19" i="1"/>
  <c r="E27" i="1"/>
  <c r="E35" i="1"/>
  <c r="E43" i="1"/>
  <c r="E51" i="1"/>
  <c r="E59" i="1"/>
  <c r="E67" i="1"/>
  <c r="E75" i="1"/>
  <c r="E83" i="1"/>
  <c r="E91" i="1"/>
  <c r="E99" i="1"/>
  <c r="E115" i="1"/>
  <c r="E4" i="1"/>
  <c r="E12" i="1"/>
  <c r="E20" i="1"/>
  <c r="E28" i="1"/>
  <c r="E36" i="1"/>
  <c r="E44" i="1"/>
  <c r="E52" i="1"/>
  <c r="E60" i="1"/>
  <c r="E68" i="1"/>
  <c r="E76" i="1"/>
  <c r="E84" i="1"/>
  <c r="E92" i="1"/>
  <c r="E100" i="1"/>
  <c r="E108" i="1"/>
  <c r="E5" i="1"/>
  <c r="E13" i="1"/>
  <c r="E21" i="1"/>
  <c r="E29" i="1"/>
  <c r="E37" i="1"/>
  <c r="E45" i="1"/>
  <c r="E53" i="1"/>
  <c r="E61" i="1"/>
  <c r="E69" i="1"/>
  <c r="E77" i="1"/>
  <c r="E85" i="1"/>
  <c r="E93" i="1"/>
  <c r="E101" i="1"/>
  <c r="E109" i="1"/>
  <c r="E6" i="1"/>
  <c r="E14" i="1"/>
  <c r="E22" i="1"/>
  <c r="E30" i="1"/>
  <c r="E38" i="1"/>
  <c r="E46" i="1"/>
  <c r="E54" i="1"/>
  <c r="E62" i="1"/>
  <c r="E70" i="1"/>
  <c r="E78" i="1"/>
  <c r="E86" i="1"/>
  <c r="E94" i="1"/>
  <c r="E102" i="1"/>
  <c r="E110" i="1"/>
  <c r="E55" i="1"/>
  <c r="E87" i="1"/>
  <c r="E103" i="1"/>
  <c r="E114" i="1"/>
  <c r="E7" i="1"/>
  <c r="E15" i="1"/>
  <c r="E23" i="1"/>
  <c r="E31" i="1"/>
  <c r="E39" i="1"/>
  <c r="E47" i="1"/>
  <c r="E63" i="1"/>
  <c r="E71" i="1"/>
  <c r="E79" i="1"/>
  <c r="E95" i="1"/>
  <c r="E111" i="1"/>
  <c r="E98" i="1"/>
  <c r="E8" i="1"/>
  <c r="E16" i="1"/>
  <c r="E24" i="1"/>
  <c r="E32" i="1"/>
  <c r="E40" i="1"/>
  <c r="E48" i="1"/>
  <c r="E56" i="1"/>
  <c r="E64" i="1"/>
  <c r="E72" i="1"/>
  <c r="E80" i="1"/>
  <c r="E88" i="1"/>
  <c r="E96" i="1"/>
  <c r="E104" i="1"/>
  <c r="E112" i="1"/>
  <c r="E18" i="1"/>
  <c r="E26" i="1"/>
  <c r="E50" i="1"/>
  <c r="E66" i="1"/>
  <c r="E82" i="1"/>
  <c r="E106" i="1"/>
  <c r="E9" i="1"/>
  <c r="E17" i="1"/>
  <c r="E25" i="1"/>
  <c r="E33" i="1"/>
  <c r="E41" i="1"/>
  <c r="E49" i="1"/>
  <c r="E57" i="1"/>
  <c r="E65" i="1"/>
  <c r="E73" i="1"/>
  <c r="E81" i="1"/>
  <c r="E89" i="1"/>
  <c r="E97" i="1"/>
  <c r="E105" i="1"/>
  <c r="E113" i="1"/>
  <c r="E10" i="1"/>
  <c r="E34" i="1"/>
  <c r="E42" i="1"/>
  <c r="E58" i="1"/>
  <c r="E74" i="1"/>
  <c r="E90" i="1"/>
  <c r="E107" i="1"/>
  <c r="E2" i="1"/>
  <c r="H98" i="1" l="1"/>
  <c r="H90" i="1"/>
  <c r="H74" i="1"/>
  <c r="H42" i="1"/>
  <c r="H34" i="1"/>
  <c r="H26" i="1"/>
  <c r="H18" i="1"/>
  <c r="H10" i="1"/>
  <c r="H113" i="1"/>
  <c r="H105" i="1"/>
  <c r="H97" i="1"/>
  <c r="H89" i="1"/>
  <c r="H81" i="1"/>
  <c r="H73" i="1"/>
  <c r="H65" i="1"/>
  <c r="H57" i="1"/>
  <c r="H49" i="1"/>
  <c r="H41" i="1"/>
  <c r="H33" i="1"/>
  <c r="H25" i="1"/>
  <c r="H17" i="1"/>
  <c r="H9" i="1"/>
  <c r="H82" i="1"/>
  <c r="H88" i="1"/>
  <c r="H80" i="1"/>
  <c r="H72" i="1"/>
  <c r="H64" i="1"/>
  <c r="H56" i="1"/>
  <c r="H48" i="1"/>
  <c r="H40" i="1"/>
  <c r="H32" i="1"/>
  <c r="H24" i="1"/>
  <c r="H16" i="1"/>
  <c r="H8" i="1"/>
  <c r="H66" i="1"/>
  <c r="H96" i="1"/>
  <c r="H111" i="1"/>
  <c r="H103" i="1"/>
  <c r="H95" i="1"/>
  <c r="H87" i="1"/>
  <c r="H79" i="1"/>
  <c r="H71" i="1"/>
  <c r="H63" i="1"/>
  <c r="H55" i="1"/>
  <c r="H47" i="1"/>
  <c r="H39" i="1"/>
  <c r="H31" i="1"/>
  <c r="H23" i="1"/>
  <c r="H15" i="1"/>
  <c r="H7" i="1"/>
  <c r="H50" i="1"/>
  <c r="H112" i="1"/>
  <c r="H110" i="1"/>
  <c r="H102" i="1"/>
  <c r="H94" i="1"/>
  <c r="H86" i="1"/>
  <c r="H78" i="1"/>
  <c r="H70" i="1"/>
  <c r="H62" i="1"/>
  <c r="H54" i="1"/>
  <c r="H46" i="1"/>
  <c r="H38" i="1"/>
  <c r="H30" i="1"/>
  <c r="H22" i="1"/>
  <c r="H14" i="1"/>
  <c r="H6" i="1"/>
  <c r="H106" i="1"/>
  <c r="H58" i="1"/>
  <c r="H104" i="1"/>
  <c r="H109" i="1"/>
  <c r="H101" i="1"/>
  <c r="H93" i="1"/>
  <c r="H85" i="1"/>
  <c r="H77" i="1"/>
  <c r="H69" i="1"/>
  <c r="H61" i="1"/>
  <c r="H53" i="1"/>
  <c r="H45" i="1"/>
  <c r="H37" i="1"/>
  <c r="H29" i="1"/>
  <c r="H21" i="1"/>
  <c r="H13" i="1"/>
  <c r="H5" i="1"/>
  <c r="H114" i="1"/>
  <c r="H100" i="1"/>
  <c r="H92" i="1"/>
  <c r="H84" i="1"/>
  <c r="H76" i="1"/>
  <c r="H68" i="1"/>
  <c r="H60" i="1"/>
  <c r="H52" i="1"/>
  <c r="H44" i="1"/>
  <c r="H36" i="1"/>
  <c r="H28" i="1"/>
  <c r="H20" i="1"/>
  <c r="H12" i="1"/>
  <c r="H4" i="1"/>
  <c r="H108" i="1"/>
  <c r="H115" i="1"/>
  <c r="H107" i="1"/>
  <c r="H99" i="1"/>
  <c r="H91" i="1"/>
  <c r="H83" i="1"/>
  <c r="H75" i="1"/>
  <c r="H67" i="1"/>
  <c r="H59" i="1"/>
  <c r="H51" i="1"/>
  <c r="H43" i="1"/>
  <c r="H35" i="1"/>
  <c r="H27" i="1"/>
  <c r="H19" i="1"/>
  <c r="H11" i="1"/>
  <c r="H3" i="1"/>
  <c r="F130" i="1"/>
  <c r="F122" i="1"/>
  <c r="F127" i="1"/>
  <c r="F118" i="1"/>
  <c r="F120" i="1"/>
  <c r="F125" i="1"/>
  <c r="H2" i="1"/>
  <c r="F121" i="1"/>
  <c r="F124" i="1"/>
  <c r="F128" i="1"/>
  <c r="F119" i="1"/>
  <c r="F126" i="1"/>
  <c r="G98" i="1"/>
  <c r="G90" i="1"/>
  <c r="G58" i="1"/>
  <c r="G26" i="1"/>
  <c r="G10" i="1"/>
  <c r="G113" i="1"/>
  <c r="G105" i="1"/>
  <c r="G97" i="1"/>
  <c r="G89" i="1"/>
  <c r="G81" i="1"/>
  <c r="G73" i="1"/>
  <c r="G65" i="1"/>
  <c r="G57" i="1"/>
  <c r="G49" i="1"/>
  <c r="G41" i="1"/>
  <c r="G33" i="1"/>
  <c r="G25" i="1"/>
  <c r="G17" i="1"/>
  <c r="G9" i="1"/>
  <c r="G106" i="1"/>
  <c r="G82" i="1"/>
  <c r="G34" i="1"/>
  <c r="G18" i="1"/>
  <c r="G112" i="1"/>
  <c r="G104" i="1"/>
  <c r="G96" i="1"/>
  <c r="G88" i="1"/>
  <c r="G80" i="1"/>
  <c r="G72" i="1"/>
  <c r="G64" i="1"/>
  <c r="G56" i="1"/>
  <c r="G48" i="1"/>
  <c r="G40" i="1"/>
  <c r="G32" i="1"/>
  <c r="G24" i="1"/>
  <c r="G16" i="1"/>
  <c r="G8" i="1"/>
  <c r="G74" i="1"/>
  <c r="G103" i="1"/>
  <c r="G95" i="1"/>
  <c r="G87" i="1"/>
  <c r="G79" i="1"/>
  <c r="G71" i="1"/>
  <c r="G63" i="1"/>
  <c r="G55" i="1"/>
  <c r="G47" i="1"/>
  <c r="G39" i="1"/>
  <c r="G31" i="1"/>
  <c r="G23" i="1"/>
  <c r="G15" i="1"/>
  <c r="G7" i="1"/>
  <c r="G42" i="1"/>
  <c r="G110" i="1"/>
  <c r="G102" i="1"/>
  <c r="G94" i="1"/>
  <c r="G86" i="1"/>
  <c r="G78" i="1"/>
  <c r="G70" i="1"/>
  <c r="G62" i="1"/>
  <c r="G54" i="1"/>
  <c r="G46" i="1"/>
  <c r="G38" i="1"/>
  <c r="G30" i="1"/>
  <c r="G22" i="1"/>
  <c r="G14" i="1"/>
  <c r="G6" i="1"/>
  <c r="G66" i="1"/>
  <c r="G111" i="1"/>
  <c r="G109" i="1"/>
  <c r="G101" i="1"/>
  <c r="G93" i="1"/>
  <c r="G85" i="1"/>
  <c r="G77" i="1"/>
  <c r="G69" i="1"/>
  <c r="G61" i="1"/>
  <c r="G53" i="1"/>
  <c r="G45" i="1"/>
  <c r="G37" i="1"/>
  <c r="G29" i="1"/>
  <c r="G21" i="1"/>
  <c r="G13" i="1"/>
  <c r="G5" i="1"/>
  <c r="G114" i="1"/>
  <c r="G50" i="1"/>
  <c r="G108" i="1"/>
  <c r="G100" i="1"/>
  <c r="G92" i="1"/>
  <c r="G84" i="1"/>
  <c r="G76" i="1"/>
  <c r="G68" i="1"/>
  <c r="G60" i="1"/>
  <c r="G52" i="1"/>
  <c r="G44" i="1"/>
  <c r="G36" i="1"/>
  <c r="G28" i="1"/>
  <c r="G20" i="1"/>
  <c r="G12" i="1"/>
  <c r="G4" i="1"/>
  <c r="G115" i="1"/>
  <c r="G107" i="1"/>
  <c r="G99" i="1"/>
  <c r="G91" i="1"/>
  <c r="G83" i="1"/>
  <c r="G75" i="1"/>
  <c r="G67" i="1"/>
  <c r="G59" i="1"/>
  <c r="G51" i="1"/>
  <c r="G43" i="1"/>
  <c r="G35" i="1"/>
  <c r="G27" i="1"/>
  <c r="G19" i="1"/>
  <c r="G11" i="1"/>
  <c r="G3" i="1"/>
  <c r="E119" i="1"/>
  <c r="E124" i="1"/>
  <c r="E128" i="1"/>
  <c r="E127" i="1"/>
  <c r="E118" i="1"/>
  <c r="E122" i="1"/>
  <c r="E121" i="1"/>
  <c r="E126" i="1"/>
  <c r="E130" i="1"/>
  <c r="E120" i="1"/>
  <c r="E125" i="1"/>
  <c r="G2" i="1"/>
  <c r="F116" i="1"/>
  <c r="P119" i="1"/>
  <c r="AE119" i="1"/>
  <c r="B119" i="1"/>
  <c r="P120" i="1"/>
  <c r="AE120" i="1"/>
  <c r="B120" i="1"/>
  <c r="P130" i="1"/>
  <c r="AE130" i="1"/>
  <c r="B128" i="1"/>
  <c r="B127" i="1"/>
  <c r="B126" i="1"/>
  <c r="B125" i="1"/>
  <c r="B124" i="1"/>
  <c r="B122" i="1"/>
  <c r="B121" i="1"/>
  <c r="B118" i="1"/>
  <c r="P127" i="1"/>
  <c r="AE127" i="1"/>
  <c r="P121" i="1"/>
  <c r="AE121" i="1"/>
  <c r="P122" i="1"/>
  <c r="AE122" i="1"/>
  <c r="P124" i="1"/>
  <c r="AE124" i="1"/>
  <c r="P125" i="1"/>
  <c r="AE125" i="1"/>
  <c r="P126" i="1"/>
  <c r="AE126" i="1"/>
  <c r="P128" i="1"/>
  <c r="AE128" i="1"/>
  <c r="P118" i="1"/>
  <c r="AE118" i="1"/>
  <c r="S5" i="1"/>
  <c r="AF9" i="1"/>
  <c r="S17" i="1"/>
  <c r="S24" i="1"/>
  <c r="T25" i="1"/>
  <c r="T32" i="1"/>
  <c r="S33" i="1"/>
  <c r="AF41" i="1"/>
  <c r="T44" i="1"/>
  <c r="AF48" i="1"/>
  <c r="T49" i="1"/>
  <c r="T50" i="1"/>
  <c r="S56" i="1"/>
  <c r="S57" i="1"/>
  <c r="T60" i="1"/>
  <c r="T61" i="1"/>
  <c r="T62" i="1"/>
  <c r="S64" i="1"/>
  <c r="AF65" i="1"/>
  <c r="AF69" i="1"/>
  <c r="S72" i="1"/>
  <c r="T73" i="1"/>
  <c r="S74" i="1"/>
  <c r="T84" i="1"/>
  <c r="S85" i="1"/>
  <c r="AF89" i="1"/>
  <c r="T92" i="1"/>
  <c r="S96" i="1"/>
  <c r="T101" i="1"/>
  <c r="S105" i="1"/>
  <c r="AF110" i="1"/>
  <c r="T108" i="1"/>
  <c r="T100" i="1"/>
  <c r="T76" i="1"/>
  <c r="T68" i="1"/>
  <c r="T52" i="1"/>
  <c r="T36" i="1"/>
  <c r="T28" i="1"/>
  <c r="T20" i="1"/>
  <c r="T12" i="1"/>
  <c r="T4" i="1"/>
  <c r="AF102" i="1"/>
  <c r="S93" i="1"/>
  <c r="T86" i="1"/>
  <c r="T70" i="1"/>
  <c r="S54" i="1"/>
  <c r="S53" i="1"/>
  <c r="AF46" i="1"/>
  <c r="AF38" i="1"/>
  <c r="S21" i="1"/>
  <c r="T6" i="1"/>
  <c r="S7" i="1"/>
  <c r="S10" i="1"/>
  <c r="S15" i="1"/>
  <c r="S18" i="1"/>
  <c r="S23" i="1"/>
  <c r="S26" i="1"/>
  <c r="S27" i="1"/>
  <c r="S31" i="1"/>
  <c r="S32" i="1"/>
  <c r="S34" i="1"/>
  <c r="S35" i="1"/>
  <c r="S39" i="1"/>
  <c r="S42" i="1"/>
  <c r="S43" i="1"/>
  <c r="S47" i="1"/>
  <c r="S48" i="1"/>
  <c r="S50" i="1"/>
  <c r="S51" i="1"/>
  <c r="S55" i="1"/>
  <c r="S58" i="1"/>
  <c r="S59" i="1"/>
  <c r="S62" i="1"/>
  <c r="S63" i="1"/>
  <c r="S67" i="1"/>
  <c r="S71" i="1"/>
  <c r="S75" i="1"/>
  <c r="S78" i="1"/>
  <c r="S79" i="1"/>
  <c r="S82" i="1"/>
  <c r="S83" i="1"/>
  <c r="S87" i="1"/>
  <c r="S90" i="1"/>
  <c r="S91" i="1"/>
  <c r="S95" i="1"/>
  <c r="S98" i="1"/>
  <c r="S99" i="1"/>
  <c r="S103" i="1"/>
  <c r="S104" i="1"/>
  <c r="S106" i="1"/>
  <c r="S107" i="1"/>
  <c r="S111" i="1"/>
  <c r="S113" i="1"/>
  <c r="S114" i="1"/>
  <c r="S115" i="1"/>
  <c r="T3" i="1"/>
  <c r="T7" i="1"/>
  <c r="T10" i="1"/>
  <c r="T11" i="1"/>
  <c r="T15" i="1"/>
  <c r="T18" i="1"/>
  <c r="T19" i="1"/>
  <c r="T23" i="1"/>
  <c r="T26" i="1"/>
  <c r="T27" i="1"/>
  <c r="T29" i="1"/>
  <c r="T30" i="1"/>
  <c r="T31" i="1"/>
  <c r="T34" i="1"/>
  <c r="T35" i="1"/>
  <c r="T39" i="1"/>
  <c r="T42" i="1"/>
  <c r="T43" i="1"/>
  <c r="T46" i="1"/>
  <c r="T47" i="1"/>
  <c r="T51" i="1"/>
  <c r="T55" i="1"/>
  <c r="T58" i="1"/>
  <c r="T59" i="1"/>
  <c r="T63" i="1"/>
  <c r="T66" i="1"/>
  <c r="T67" i="1"/>
  <c r="T69" i="1"/>
  <c r="T71" i="1"/>
  <c r="T74" i="1"/>
  <c r="T75" i="1"/>
  <c r="T79" i="1"/>
  <c r="T82" i="1"/>
  <c r="T83" i="1"/>
  <c r="T87" i="1"/>
  <c r="T90" i="1"/>
  <c r="T91" i="1"/>
  <c r="T94" i="1"/>
  <c r="T95" i="1"/>
  <c r="T98" i="1"/>
  <c r="T99" i="1"/>
  <c r="T103" i="1"/>
  <c r="T104" i="1"/>
  <c r="T105" i="1"/>
  <c r="T106" i="1"/>
  <c r="T107" i="1"/>
  <c r="T110" i="1"/>
  <c r="T111" i="1"/>
  <c r="T114" i="1"/>
  <c r="T115" i="1"/>
  <c r="AF3" i="1"/>
  <c r="AF6" i="1"/>
  <c r="AF7" i="1"/>
  <c r="AF10" i="1"/>
  <c r="AF11" i="1"/>
  <c r="AF15" i="1"/>
  <c r="AF16" i="1"/>
  <c r="AF18" i="1"/>
  <c r="AF19" i="1"/>
  <c r="AF23" i="1"/>
  <c r="AF26" i="1"/>
  <c r="AF27" i="1"/>
  <c r="AF31" i="1"/>
  <c r="AF32" i="1"/>
  <c r="AF34" i="1"/>
  <c r="AF35" i="1"/>
  <c r="AF37" i="1"/>
  <c r="AF39" i="1"/>
  <c r="AF42" i="1"/>
  <c r="AF43" i="1"/>
  <c r="AF47" i="1"/>
  <c r="AF50" i="1"/>
  <c r="AF51" i="1"/>
  <c r="AF54" i="1"/>
  <c r="AF55" i="1"/>
  <c r="AF58" i="1"/>
  <c r="AF59" i="1"/>
  <c r="AF63" i="1"/>
  <c r="AF66" i="1"/>
  <c r="AF67" i="1"/>
  <c r="AF70" i="1"/>
  <c r="AF71" i="1"/>
  <c r="AF74" i="1"/>
  <c r="AF75" i="1"/>
  <c r="AF77" i="1"/>
  <c r="AF79" i="1"/>
  <c r="AF82" i="1"/>
  <c r="AF83" i="1"/>
  <c r="AF87" i="1"/>
  <c r="AF88" i="1"/>
  <c r="AF90" i="1"/>
  <c r="AF91" i="1"/>
  <c r="AF95" i="1"/>
  <c r="AF98" i="1"/>
  <c r="AF99" i="1"/>
  <c r="AF103" i="1"/>
  <c r="AF104" i="1"/>
  <c r="AF106" i="1"/>
  <c r="AF107" i="1"/>
  <c r="AF109" i="1"/>
  <c r="AF111" i="1"/>
  <c r="AF114" i="1"/>
  <c r="AF115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H120" i="1" l="1"/>
  <c r="H122" i="1"/>
  <c r="H127" i="1"/>
  <c r="H118" i="1"/>
  <c r="H125" i="1"/>
  <c r="H116" i="1"/>
  <c r="H119" i="1"/>
  <c r="H121" i="1"/>
  <c r="H124" i="1"/>
  <c r="H126" i="1"/>
  <c r="H128" i="1"/>
  <c r="G120" i="1"/>
  <c r="G125" i="1"/>
  <c r="G119" i="1"/>
  <c r="G124" i="1"/>
  <c r="G130" i="1" s="1"/>
  <c r="G128" i="1"/>
  <c r="G118" i="1"/>
  <c r="G122" i="1"/>
  <c r="G127" i="1"/>
  <c r="G116" i="1"/>
  <c r="G121" i="1"/>
  <c r="G126" i="1"/>
  <c r="M108" i="1"/>
  <c r="K108" i="1"/>
  <c r="L108" i="1"/>
  <c r="K76" i="1"/>
  <c r="M76" i="1"/>
  <c r="L76" i="1"/>
  <c r="K44" i="1"/>
  <c r="M44" i="1"/>
  <c r="L44" i="1"/>
  <c r="M20" i="1"/>
  <c r="K20" i="1"/>
  <c r="L20" i="1"/>
  <c r="M107" i="1"/>
  <c r="K107" i="1"/>
  <c r="L107" i="1"/>
  <c r="M91" i="1"/>
  <c r="K91" i="1"/>
  <c r="L91" i="1"/>
  <c r="M75" i="1"/>
  <c r="K75" i="1"/>
  <c r="L75" i="1"/>
  <c r="M59" i="1"/>
  <c r="K59" i="1"/>
  <c r="L59" i="1"/>
  <c r="M43" i="1"/>
  <c r="K43" i="1"/>
  <c r="L43" i="1"/>
  <c r="M35" i="1"/>
  <c r="K35" i="1"/>
  <c r="L35" i="1"/>
  <c r="M27" i="1"/>
  <c r="K27" i="1"/>
  <c r="L27" i="1"/>
  <c r="M11" i="1"/>
  <c r="K11" i="1"/>
  <c r="L11" i="1"/>
  <c r="M106" i="1"/>
  <c r="K106" i="1"/>
  <c r="L106" i="1"/>
  <c r="M90" i="1"/>
  <c r="K90" i="1"/>
  <c r="L90" i="1"/>
  <c r="K74" i="1"/>
  <c r="M74" i="1"/>
  <c r="L74" i="1"/>
  <c r="K58" i="1"/>
  <c r="M58" i="1"/>
  <c r="L58" i="1"/>
  <c r="K42" i="1"/>
  <c r="M42" i="1"/>
  <c r="L42" i="1"/>
  <c r="M34" i="1"/>
  <c r="K34" i="1"/>
  <c r="L34" i="1"/>
  <c r="K18" i="1"/>
  <c r="M18" i="1"/>
  <c r="L18" i="1"/>
  <c r="K10" i="1"/>
  <c r="M10" i="1"/>
  <c r="L10" i="1"/>
  <c r="M113" i="1"/>
  <c r="K113" i="1"/>
  <c r="L113" i="1"/>
  <c r="K105" i="1"/>
  <c r="M105" i="1"/>
  <c r="L105" i="1"/>
  <c r="M97" i="1"/>
  <c r="K97" i="1"/>
  <c r="L97" i="1"/>
  <c r="M89" i="1"/>
  <c r="K89" i="1"/>
  <c r="L89" i="1"/>
  <c r="K81" i="1"/>
  <c r="M81" i="1"/>
  <c r="L81" i="1"/>
  <c r="M73" i="1"/>
  <c r="K73" i="1"/>
  <c r="L73" i="1"/>
  <c r="M65" i="1"/>
  <c r="K65" i="1"/>
  <c r="L65" i="1"/>
  <c r="K57" i="1"/>
  <c r="M57" i="1"/>
  <c r="L57" i="1"/>
  <c r="M49" i="1"/>
  <c r="K49" i="1"/>
  <c r="L49" i="1"/>
  <c r="M41" i="1"/>
  <c r="K41" i="1"/>
  <c r="L41" i="1"/>
  <c r="M33" i="1"/>
  <c r="K33" i="1"/>
  <c r="L33" i="1"/>
  <c r="M25" i="1"/>
  <c r="K25" i="1"/>
  <c r="L25" i="1"/>
  <c r="M17" i="1"/>
  <c r="K17" i="1"/>
  <c r="L17" i="1"/>
  <c r="K9" i="1"/>
  <c r="M9" i="1"/>
  <c r="L9" i="1"/>
  <c r="M68" i="1"/>
  <c r="K68" i="1"/>
  <c r="L68" i="1"/>
  <c r="M36" i="1"/>
  <c r="K36" i="1"/>
  <c r="L36" i="1"/>
  <c r="K115" i="1"/>
  <c r="M115" i="1"/>
  <c r="L115" i="1"/>
  <c r="M99" i="1"/>
  <c r="K99" i="1"/>
  <c r="L99" i="1"/>
  <c r="M83" i="1"/>
  <c r="K83" i="1"/>
  <c r="L83" i="1"/>
  <c r="M67" i="1"/>
  <c r="K67" i="1"/>
  <c r="L67" i="1"/>
  <c r="M51" i="1"/>
  <c r="K51" i="1"/>
  <c r="L51" i="1"/>
  <c r="M19" i="1"/>
  <c r="K19" i="1"/>
  <c r="L19" i="1"/>
  <c r="K114" i="1"/>
  <c r="M114" i="1"/>
  <c r="L114" i="1"/>
  <c r="K98" i="1"/>
  <c r="M98" i="1"/>
  <c r="L98" i="1"/>
  <c r="K82" i="1"/>
  <c r="M82" i="1"/>
  <c r="L82" i="1"/>
  <c r="M66" i="1"/>
  <c r="K66" i="1"/>
  <c r="L66" i="1"/>
  <c r="M50" i="1"/>
  <c r="K50" i="1"/>
  <c r="L50" i="1"/>
  <c r="M26" i="1"/>
  <c r="K26" i="1"/>
  <c r="L26" i="1"/>
  <c r="M112" i="1"/>
  <c r="K112" i="1"/>
  <c r="L112" i="1"/>
  <c r="M104" i="1"/>
  <c r="K104" i="1"/>
  <c r="L104" i="1"/>
  <c r="M96" i="1"/>
  <c r="K96" i="1"/>
  <c r="L96" i="1"/>
  <c r="M88" i="1"/>
  <c r="K88" i="1"/>
  <c r="L88" i="1"/>
  <c r="M80" i="1"/>
  <c r="K80" i="1"/>
  <c r="L80" i="1"/>
  <c r="M72" i="1"/>
  <c r="K72" i="1"/>
  <c r="L72" i="1"/>
  <c r="M64" i="1"/>
  <c r="K64" i="1"/>
  <c r="L64" i="1"/>
  <c r="M56" i="1"/>
  <c r="K56" i="1"/>
  <c r="L56" i="1"/>
  <c r="M48" i="1"/>
  <c r="K48" i="1"/>
  <c r="L48" i="1"/>
  <c r="M40" i="1"/>
  <c r="K40" i="1"/>
  <c r="L40" i="1"/>
  <c r="M32" i="1"/>
  <c r="K32" i="1"/>
  <c r="L32" i="1"/>
  <c r="M24" i="1"/>
  <c r="K24" i="1"/>
  <c r="L24" i="1"/>
  <c r="M16" i="1"/>
  <c r="K16" i="1"/>
  <c r="L16" i="1"/>
  <c r="M8" i="1"/>
  <c r="K8" i="1"/>
  <c r="L8" i="1"/>
  <c r="M111" i="1"/>
  <c r="K111" i="1"/>
  <c r="L111" i="1"/>
  <c r="M71" i="1"/>
  <c r="K71" i="1"/>
  <c r="L71" i="1"/>
  <c r="M7" i="1"/>
  <c r="K7" i="1"/>
  <c r="L7" i="1"/>
  <c r="M103" i="1"/>
  <c r="K103" i="1"/>
  <c r="L103" i="1"/>
  <c r="M87" i="1"/>
  <c r="K87" i="1"/>
  <c r="L87" i="1"/>
  <c r="M55" i="1"/>
  <c r="K55" i="1"/>
  <c r="L55" i="1"/>
  <c r="K70" i="1"/>
  <c r="M70" i="1"/>
  <c r="L70" i="1"/>
  <c r="M84" i="1"/>
  <c r="K84" i="1"/>
  <c r="L84" i="1"/>
  <c r="M95" i="1"/>
  <c r="K95" i="1"/>
  <c r="L95" i="1"/>
  <c r="M79" i="1"/>
  <c r="K79" i="1"/>
  <c r="L79" i="1"/>
  <c r="M63" i="1"/>
  <c r="K63" i="1"/>
  <c r="L63" i="1"/>
  <c r="M47" i="1"/>
  <c r="K47" i="1"/>
  <c r="L47" i="1"/>
  <c r="M39" i="1"/>
  <c r="K39" i="1"/>
  <c r="L39" i="1"/>
  <c r="M31" i="1"/>
  <c r="K31" i="1"/>
  <c r="L31" i="1"/>
  <c r="M23" i="1"/>
  <c r="K23" i="1"/>
  <c r="L23" i="1"/>
  <c r="M15" i="1"/>
  <c r="K15" i="1"/>
  <c r="L15" i="1"/>
  <c r="K110" i="1"/>
  <c r="M110" i="1"/>
  <c r="L110" i="1"/>
  <c r="K102" i="1"/>
  <c r="M102" i="1"/>
  <c r="L102" i="1"/>
  <c r="K94" i="1"/>
  <c r="M94" i="1"/>
  <c r="L94" i="1"/>
  <c r="K86" i="1"/>
  <c r="M86" i="1"/>
  <c r="L86" i="1"/>
  <c r="K78" i="1"/>
  <c r="M78" i="1"/>
  <c r="L78" i="1"/>
  <c r="K62" i="1"/>
  <c r="M62" i="1"/>
  <c r="L62" i="1"/>
  <c r="K54" i="1"/>
  <c r="M54" i="1"/>
  <c r="L54" i="1"/>
  <c r="K46" i="1"/>
  <c r="M46" i="1"/>
  <c r="L46" i="1"/>
  <c r="K38" i="1"/>
  <c r="M38" i="1"/>
  <c r="L38" i="1"/>
  <c r="K30" i="1"/>
  <c r="M30" i="1"/>
  <c r="L30" i="1"/>
  <c r="K22" i="1"/>
  <c r="M22" i="1"/>
  <c r="L22" i="1"/>
  <c r="K14" i="1"/>
  <c r="M14" i="1"/>
  <c r="L14" i="1"/>
  <c r="K6" i="1"/>
  <c r="M6" i="1"/>
  <c r="L6" i="1"/>
  <c r="K109" i="1"/>
  <c r="M109" i="1"/>
  <c r="L109" i="1"/>
  <c r="K101" i="1"/>
  <c r="M101" i="1"/>
  <c r="L101" i="1"/>
  <c r="K93" i="1"/>
  <c r="M93" i="1"/>
  <c r="L93" i="1"/>
  <c r="K85" i="1"/>
  <c r="M85" i="1"/>
  <c r="L85" i="1"/>
  <c r="K77" i="1"/>
  <c r="M77" i="1"/>
  <c r="L77" i="1"/>
  <c r="K69" i="1"/>
  <c r="M69" i="1"/>
  <c r="L69" i="1"/>
  <c r="K61" i="1"/>
  <c r="M61" i="1"/>
  <c r="L61" i="1"/>
  <c r="K53" i="1"/>
  <c r="M53" i="1"/>
  <c r="L53" i="1"/>
  <c r="K45" i="1"/>
  <c r="M45" i="1"/>
  <c r="L45" i="1"/>
  <c r="K37" i="1"/>
  <c r="M37" i="1"/>
  <c r="L37" i="1"/>
  <c r="K29" i="1"/>
  <c r="M29" i="1"/>
  <c r="L29" i="1"/>
  <c r="K21" i="1"/>
  <c r="M21" i="1"/>
  <c r="L21" i="1"/>
  <c r="K13" i="1"/>
  <c r="M13" i="1"/>
  <c r="L13" i="1"/>
  <c r="K5" i="1"/>
  <c r="M5" i="1"/>
  <c r="L5" i="1"/>
  <c r="M92" i="1"/>
  <c r="K92" i="1"/>
  <c r="L92" i="1"/>
  <c r="M52" i="1"/>
  <c r="K52" i="1"/>
  <c r="L52" i="1"/>
  <c r="M28" i="1"/>
  <c r="K28" i="1"/>
  <c r="L28" i="1"/>
  <c r="M12" i="1"/>
  <c r="K12" i="1"/>
  <c r="L12" i="1"/>
  <c r="M4" i="1"/>
  <c r="K4" i="1"/>
  <c r="L4" i="1"/>
  <c r="M100" i="1"/>
  <c r="K100" i="1"/>
  <c r="L100" i="1"/>
  <c r="M60" i="1"/>
  <c r="K60" i="1"/>
  <c r="L60" i="1"/>
  <c r="M3" i="1"/>
  <c r="K3" i="1"/>
  <c r="L3" i="1"/>
  <c r="K2" i="1"/>
  <c r="N2" i="1"/>
  <c r="M2" i="1"/>
  <c r="L2" i="1"/>
  <c r="N108" i="1"/>
  <c r="N76" i="1"/>
  <c r="N44" i="1"/>
  <c r="N20" i="1"/>
  <c r="N107" i="1"/>
  <c r="N91" i="1"/>
  <c r="N75" i="1"/>
  <c r="N59" i="1"/>
  <c r="N43" i="1"/>
  <c r="N35" i="1"/>
  <c r="N27" i="1"/>
  <c r="N11" i="1"/>
  <c r="N106" i="1"/>
  <c r="N90" i="1"/>
  <c r="N74" i="1"/>
  <c r="N58" i="1"/>
  <c r="N42" i="1"/>
  <c r="N34" i="1"/>
  <c r="N18" i="1"/>
  <c r="N10" i="1"/>
  <c r="N113" i="1"/>
  <c r="N105" i="1"/>
  <c r="N97" i="1"/>
  <c r="N89" i="1"/>
  <c r="N81" i="1"/>
  <c r="N73" i="1"/>
  <c r="N65" i="1"/>
  <c r="N57" i="1"/>
  <c r="N49" i="1"/>
  <c r="N41" i="1"/>
  <c r="N33" i="1"/>
  <c r="N25" i="1"/>
  <c r="N17" i="1"/>
  <c r="N9" i="1"/>
  <c r="N68" i="1"/>
  <c r="N36" i="1"/>
  <c r="N115" i="1"/>
  <c r="N99" i="1"/>
  <c r="N83" i="1"/>
  <c r="N67" i="1"/>
  <c r="N51" i="1"/>
  <c r="N19" i="1"/>
  <c r="N114" i="1"/>
  <c r="N98" i="1"/>
  <c r="N82" i="1"/>
  <c r="N66" i="1"/>
  <c r="N50" i="1"/>
  <c r="N26" i="1"/>
  <c r="N112" i="1"/>
  <c r="N104" i="1"/>
  <c r="N96" i="1"/>
  <c r="N88" i="1"/>
  <c r="N80" i="1"/>
  <c r="N72" i="1"/>
  <c r="N64" i="1"/>
  <c r="N56" i="1"/>
  <c r="N48" i="1"/>
  <c r="N40" i="1"/>
  <c r="N32" i="1"/>
  <c r="N24" i="1"/>
  <c r="N16" i="1"/>
  <c r="N8" i="1"/>
  <c r="N111" i="1"/>
  <c r="N71" i="1"/>
  <c r="N7" i="1"/>
  <c r="N103" i="1"/>
  <c r="N87" i="1"/>
  <c r="N55" i="1"/>
  <c r="N70" i="1"/>
  <c r="N84" i="1"/>
  <c r="N95" i="1"/>
  <c r="N79" i="1"/>
  <c r="N63" i="1"/>
  <c r="N47" i="1"/>
  <c r="N39" i="1"/>
  <c r="N31" i="1"/>
  <c r="N23" i="1"/>
  <c r="N15" i="1"/>
  <c r="N110" i="1"/>
  <c r="N102" i="1"/>
  <c r="N94" i="1"/>
  <c r="N86" i="1"/>
  <c r="N78" i="1"/>
  <c r="N62" i="1"/>
  <c r="N54" i="1"/>
  <c r="N46" i="1"/>
  <c r="N38" i="1"/>
  <c r="N30" i="1"/>
  <c r="N22" i="1"/>
  <c r="N14" i="1"/>
  <c r="N6" i="1"/>
  <c r="N109" i="1"/>
  <c r="N101" i="1"/>
  <c r="N93" i="1"/>
  <c r="N85" i="1"/>
  <c r="N77" i="1"/>
  <c r="N69" i="1"/>
  <c r="N61" i="1"/>
  <c r="N53" i="1"/>
  <c r="N45" i="1"/>
  <c r="N37" i="1"/>
  <c r="N29" i="1"/>
  <c r="N21" i="1"/>
  <c r="N13" i="1"/>
  <c r="N5" i="1"/>
  <c r="N92" i="1"/>
  <c r="N52" i="1"/>
  <c r="N28" i="1"/>
  <c r="N12" i="1"/>
  <c r="N4" i="1"/>
  <c r="N100" i="1"/>
  <c r="N60" i="1"/>
  <c r="N3" i="1"/>
  <c r="B130" i="1"/>
  <c r="E116" i="1"/>
  <c r="AF72" i="1"/>
  <c r="T88" i="1"/>
  <c r="T72" i="1"/>
  <c r="T16" i="1"/>
  <c r="S88" i="1"/>
  <c r="S61" i="1"/>
  <c r="S8" i="1"/>
  <c r="AF56" i="1"/>
  <c r="T112" i="1"/>
  <c r="T56" i="1"/>
  <c r="S101" i="1"/>
  <c r="S29" i="1"/>
  <c r="AF112" i="1"/>
  <c r="AF40" i="1"/>
  <c r="T40" i="1"/>
  <c r="AF80" i="1"/>
  <c r="AF24" i="1"/>
  <c r="AF8" i="1"/>
  <c r="AM8" i="1" s="1"/>
  <c r="T96" i="1"/>
  <c r="S112" i="1"/>
  <c r="S40" i="1"/>
  <c r="S16" i="1"/>
  <c r="AF96" i="1"/>
  <c r="T80" i="1"/>
  <c r="T24" i="1"/>
  <c r="T8" i="1"/>
  <c r="S80" i="1"/>
  <c r="S66" i="1"/>
  <c r="AF64" i="1"/>
  <c r="T64" i="1"/>
  <c r="T48" i="1"/>
  <c r="AF73" i="1"/>
  <c r="T33" i="1"/>
  <c r="AF97" i="1"/>
  <c r="AL97" i="1" s="1"/>
  <c r="S65" i="1"/>
  <c r="T57" i="1"/>
  <c r="S89" i="1"/>
  <c r="T81" i="1"/>
  <c r="AF49" i="1"/>
  <c r="AF25" i="1"/>
  <c r="T9" i="1"/>
  <c r="S41" i="1"/>
  <c r="AF81" i="1"/>
  <c r="T113" i="1"/>
  <c r="S9" i="1"/>
  <c r="AF105" i="1"/>
  <c r="AL105" i="1" s="1"/>
  <c r="AF57" i="1"/>
  <c r="AM57" i="1" s="1"/>
  <c r="T89" i="1"/>
  <c r="T65" i="1"/>
  <c r="T41" i="1"/>
  <c r="S97" i="1"/>
  <c r="S73" i="1"/>
  <c r="AF33" i="1"/>
  <c r="T17" i="1"/>
  <c r="S49" i="1"/>
  <c r="S25" i="1"/>
  <c r="AF113" i="1"/>
  <c r="T97" i="1"/>
  <c r="S81" i="1"/>
  <c r="AF17" i="1"/>
  <c r="AL17" i="1" s="1"/>
  <c r="AF5" i="1"/>
  <c r="AU5" i="1" s="1"/>
  <c r="T109" i="1"/>
  <c r="T37" i="1"/>
  <c r="S69" i="1"/>
  <c r="AF85" i="1"/>
  <c r="AU85" i="1" s="1"/>
  <c r="AF45" i="1"/>
  <c r="AF13" i="1"/>
  <c r="AU13" i="1" s="1"/>
  <c r="T77" i="1"/>
  <c r="T5" i="1"/>
  <c r="S109" i="1"/>
  <c r="S37" i="1"/>
  <c r="S13" i="1"/>
  <c r="T45" i="1"/>
  <c r="S77" i="1"/>
  <c r="AF93" i="1"/>
  <c r="AF53" i="1"/>
  <c r="AF21" i="1"/>
  <c r="AU21" i="1" s="1"/>
  <c r="T85" i="1"/>
  <c r="T53" i="1"/>
  <c r="T13" i="1"/>
  <c r="S45" i="1"/>
  <c r="AF61" i="1"/>
  <c r="S22" i="1"/>
  <c r="AF101" i="1"/>
  <c r="AF29" i="1"/>
  <c r="T93" i="1"/>
  <c r="T21" i="1"/>
  <c r="AF62" i="1"/>
  <c r="T102" i="1"/>
  <c r="T38" i="1"/>
  <c r="S70" i="1"/>
  <c r="AF78" i="1"/>
  <c r="AF14" i="1"/>
  <c r="AL14" i="1" s="1"/>
  <c r="T54" i="1"/>
  <c r="S86" i="1"/>
  <c r="AF86" i="1"/>
  <c r="AF22" i="1"/>
  <c r="AL22" i="1" s="1"/>
  <c r="S94" i="1"/>
  <c r="S30" i="1"/>
  <c r="S6" i="1"/>
  <c r="AF94" i="1"/>
  <c r="AL94" i="1" s="1"/>
  <c r="AF30" i="1"/>
  <c r="S102" i="1"/>
  <c r="S38" i="1"/>
  <c r="T78" i="1"/>
  <c r="T14" i="1"/>
  <c r="S110" i="1"/>
  <c r="S46" i="1"/>
  <c r="T22" i="1"/>
  <c r="S14" i="1"/>
  <c r="S108" i="1"/>
  <c r="S100" i="1"/>
  <c r="S92" i="1"/>
  <c r="S84" i="1"/>
  <c r="S76" i="1"/>
  <c r="S68" i="1"/>
  <c r="S60" i="1"/>
  <c r="S52" i="1"/>
  <c r="S44" i="1"/>
  <c r="S36" i="1"/>
  <c r="S28" i="1"/>
  <c r="S20" i="1"/>
  <c r="S12" i="1"/>
  <c r="S4" i="1"/>
  <c r="S19" i="1"/>
  <c r="S11" i="1"/>
  <c r="S3" i="1"/>
  <c r="AF108" i="1"/>
  <c r="AF100" i="1"/>
  <c r="AF92" i="1"/>
  <c r="AF84" i="1"/>
  <c r="AF76" i="1"/>
  <c r="AF68" i="1"/>
  <c r="AF60" i="1"/>
  <c r="AM60" i="1" s="1"/>
  <c r="AF52" i="1"/>
  <c r="AF44" i="1"/>
  <c r="AF36" i="1"/>
  <c r="AF28" i="1"/>
  <c r="AF20" i="1"/>
  <c r="AF12" i="1"/>
  <c r="AF4" i="1"/>
  <c r="AM4" i="1" s="1"/>
  <c r="A164" i="1"/>
  <c r="A159" i="1"/>
  <c r="A158" i="1"/>
  <c r="AT10" i="1"/>
  <c r="AM3" i="1"/>
  <c r="AM6" i="1"/>
  <c r="AL7" i="1"/>
  <c r="AM11" i="1"/>
  <c r="AM15" i="1"/>
  <c r="AL23" i="1"/>
  <c r="AX27" i="1"/>
  <c r="AL39" i="1"/>
  <c r="AS47" i="1"/>
  <c r="AM54" i="1"/>
  <c r="AT58" i="1"/>
  <c r="AL63" i="1"/>
  <c r="AT66" i="1"/>
  <c r="AU69" i="1"/>
  <c r="AL71" i="1"/>
  <c r="AT74" i="1"/>
  <c r="AM75" i="1"/>
  <c r="AU77" i="1"/>
  <c r="AM79" i="1"/>
  <c r="AM89" i="1"/>
  <c r="AX91" i="1"/>
  <c r="AL103" i="1"/>
  <c r="AS111" i="1"/>
  <c r="AL77" i="1"/>
  <c r="H130" i="1" l="1"/>
  <c r="L116" i="1"/>
  <c r="M116" i="1"/>
  <c r="N116" i="1"/>
  <c r="K116" i="1"/>
  <c r="AL8" i="1"/>
  <c r="AM96" i="1"/>
  <c r="AM40" i="1"/>
  <c r="AM32" i="1"/>
  <c r="AL64" i="1"/>
  <c r="AL56" i="1"/>
  <c r="AM88" i="1"/>
  <c r="AL96" i="1"/>
  <c r="AL40" i="1"/>
  <c r="AM72" i="1"/>
  <c r="AM16" i="1"/>
  <c r="AL104" i="1"/>
  <c r="AM24" i="1"/>
  <c r="AM64" i="1"/>
  <c r="AL80" i="1"/>
  <c r="AL24" i="1"/>
  <c r="AL48" i="1"/>
  <c r="AL88" i="1"/>
  <c r="AM56" i="1"/>
  <c r="AL32" i="1"/>
  <c r="AL72" i="1"/>
  <c r="AL16" i="1"/>
  <c r="AM48" i="1"/>
  <c r="AM112" i="1"/>
  <c r="AL112" i="1"/>
  <c r="AL109" i="1"/>
  <c r="AM80" i="1"/>
  <c r="AM67" i="1"/>
  <c r="AL44" i="1"/>
  <c r="AL36" i="1"/>
  <c r="AL68" i="1"/>
  <c r="AL108" i="1"/>
  <c r="AL60" i="1"/>
  <c r="AL115" i="1"/>
  <c r="AM59" i="1"/>
  <c r="AL83" i="1"/>
  <c r="AL27" i="1"/>
  <c r="AM27" i="1"/>
  <c r="AL3" i="1"/>
  <c r="AL51" i="1"/>
  <c r="AM19" i="1"/>
  <c r="AL35" i="1"/>
  <c r="AM51" i="1"/>
  <c r="AL91" i="1"/>
  <c r="AL107" i="1"/>
  <c r="AL75" i="1"/>
  <c r="AL19" i="1"/>
  <c r="AM43" i="1"/>
  <c r="AM30" i="1"/>
  <c r="AM104" i="1"/>
  <c r="AL20" i="1"/>
  <c r="AM28" i="1"/>
  <c r="AM22" i="1"/>
  <c r="AM20" i="1"/>
  <c r="AL52" i="1"/>
  <c r="AL12" i="1"/>
  <c r="AM14" i="1"/>
  <c r="AL78" i="1"/>
  <c r="AL76" i="1"/>
  <c r="AL28" i="1"/>
  <c r="AM78" i="1"/>
  <c r="AM12" i="1"/>
  <c r="AM86" i="1"/>
  <c r="AL92" i="1"/>
  <c r="AL4" i="1"/>
  <c r="AM76" i="1"/>
  <c r="AM62" i="1"/>
  <c r="AL46" i="1"/>
  <c r="AM36" i="1"/>
  <c r="AM46" i="1"/>
  <c r="AL53" i="1"/>
  <c r="AL29" i="1"/>
  <c r="AL93" i="1"/>
  <c r="AL61" i="1"/>
  <c r="AL45" i="1"/>
  <c r="AL13" i="1"/>
  <c r="AM108" i="1"/>
  <c r="AM61" i="1"/>
  <c r="AM44" i="1"/>
  <c r="AM21" i="1"/>
  <c r="AL37" i="1"/>
  <c r="AL5" i="1"/>
  <c r="AM100" i="1"/>
  <c r="AM13" i="1"/>
  <c r="AM77" i="1"/>
  <c r="AL85" i="1"/>
  <c r="AM37" i="1"/>
  <c r="AL21" i="1"/>
  <c r="AM53" i="1"/>
  <c r="AL101" i="1"/>
  <c r="AL84" i="1"/>
  <c r="AL69" i="1"/>
  <c r="AM92" i="1"/>
  <c r="AM68" i="1"/>
  <c r="AM52" i="1"/>
  <c r="AM29" i="1"/>
  <c r="AM101" i="1"/>
  <c r="AL100" i="1"/>
  <c r="AM115" i="1"/>
  <c r="AM84" i="1"/>
  <c r="AM45" i="1"/>
  <c r="AM5" i="1"/>
  <c r="AM91" i="1"/>
  <c r="AM17" i="1"/>
  <c r="AM71" i="1"/>
  <c r="AM7" i="1"/>
  <c r="AM50" i="1"/>
  <c r="AM85" i="1"/>
  <c r="AM69" i="1"/>
  <c r="AM55" i="1"/>
  <c r="AM39" i="1"/>
  <c r="AS55" i="1"/>
  <c r="AT106" i="1"/>
  <c r="AM102" i="1"/>
  <c r="AT42" i="1"/>
  <c r="AL111" i="1"/>
  <c r="AL55" i="1"/>
  <c r="AL15" i="1"/>
  <c r="AU93" i="1"/>
  <c r="AM95" i="1"/>
  <c r="AM47" i="1"/>
  <c r="AU29" i="1"/>
  <c r="AL95" i="1"/>
  <c r="AM111" i="1"/>
  <c r="AM93" i="1"/>
  <c r="AK53" i="1"/>
  <c r="AL79" i="1"/>
  <c r="AM109" i="1"/>
  <c r="AM99" i="1"/>
  <c r="AW97" i="1"/>
  <c r="AY97" i="1"/>
  <c r="AK97" i="1"/>
  <c r="AX97" i="1"/>
  <c r="AV97" i="1"/>
  <c r="AS97" i="1"/>
  <c r="AZ97" i="1"/>
  <c r="AU97" i="1"/>
  <c r="AT97" i="1"/>
  <c r="AW73" i="1"/>
  <c r="AY73" i="1"/>
  <c r="AK73" i="1"/>
  <c r="AX73" i="1"/>
  <c r="AV73" i="1"/>
  <c r="AZ73" i="1"/>
  <c r="AS73" i="1"/>
  <c r="AU73" i="1"/>
  <c r="AT73" i="1"/>
  <c r="AW25" i="1"/>
  <c r="AY25" i="1"/>
  <c r="AK25" i="1"/>
  <c r="AX25" i="1"/>
  <c r="AV25" i="1"/>
  <c r="AS25" i="1"/>
  <c r="AZ25" i="1"/>
  <c r="AU25" i="1"/>
  <c r="AT25" i="1"/>
  <c r="AL113" i="1"/>
  <c r="AL59" i="1"/>
  <c r="AL47" i="1"/>
  <c r="AM107" i="1"/>
  <c r="AM94" i="1"/>
  <c r="AM31" i="1"/>
  <c r="AM83" i="1"/>
  <c r="AY112" i="1"/>
  <c r="AK112" i="1"/>
  <c r="AX112" i="1"/>
  <c r="AZ112" i="1"/>
  <c r="AW112" i="1"/>
  <c r="AS112" i="1"/>
  <c r="AU112" i="1"/>
  <c r="AT112" i="1"/>
  <c r="AY104" i="1"/>
  <c r="AK104" i="1"/>
  <c r="AX104" i="1"/>
  <c r="AV104" i="1"/>
  <c r="AZ104" i="1"/>
  <c r="AS104" i="1"/>
  <c r="AU104" i="1"/>
  <c r="AT104" i="1"/>
  <c r="AY96" i="1"/>
  <c r="AK96" i="1"/>
  <c r="AX96" i="1"/>
  <c r="AV96" i="1"/>
  <c r="AZ96" i="1"/>
  <c r="AS96" i="1"/>
  <c r="AU96" i="1"/>
  <c r="AT96" i="1"/>
  <c r="AW96" i="1"/>
  <c r="AY88" i="1"/>
  <c r="AK88" i="1"/>
  <c r="AX88" i="1"/>
  <c r="AV88" i="1"/>
  <c r="AZ88" i="1"/>
  <c r="AS88" i="1"/>
  <c r="AU88" i="1"/>
  <c r="AW88" i="1"/>
  <c r="AT88" i="1"/>
  <c r="AY80" i="1"/>
  <c r="AK80" i="1"/>
  <c r="AX80" i="1"/>
  <c r="AV80" i="1"/>
  <c r="AZ80" i="1"/>
  <c r="AS80" i="1"/>
  <c r="AU80" i="1"/>
  <c r="AW80" i="1"/>
  <c r="AT80" i="1"/>
  <c r="AY72" i="1"/>
  <c r="AK72" i="1"/>
  <c r="AX72" i="1"/>
  <c r="AV72" i="1"/>
  <c r="AZ72" i="1"/>
  <c r="AS72" i="1"/>
  <c r="AU72" i="1"/>
  <c r="AW72" i="1"/>
  <c r="AT72" i="1"/>
  <c r="AY64" i="1"/>
  <c r="AK64" i="1"/>
  <c r="AX64" i="1"/>
  <c r="AV64" i="1"/>
  <c r="AZ64" i="1"/>
  <c r="AS64" i="1"/>
  <c r="AW64" i="1"/>
  <c r="AU64" i="1"/>
  <c r="AT64" i="1"/>
  <c r="AY56" i="1"/>
  <c r="AK56" i="1"/>
  <c r="AX56" i="1"/>
  <c r="AV56" i="1"/>
  <c r="AZ56" i="1"/>
  <c r="AS56" i="1"/>
  <c r="AW56" i="1"/>
  <c r="AU56" i="1"/>
  <c r="AT56" i="1"/>
  <c r="AY48" i="1"/>
  <c r="AK48" i="1"/>
  <c r="AX48" i="1"/>
  <c r="AV48" i="1"/>
  <c r="AZ48" i="1"/>
  <c r="AW48" i="1"/>
  <c r="AS48" i="1"/>
  <c r="AU48" i="1"/>
  <c r="AT48" i="1"/>
  <c r="AY40" i="1"/>
  <c r="AK40" i="1"/>
  <c r="AX40" i="1"/>
  <c r="AV40" i="1"/>
  <c r="AZ40" i="1"/>
  <c r="AS40" i="1"/>
  <c r="AU40" i="1"/>
  <c r="AT40" i="1"/>
  <c r="AY32" i="1"/>
  <c r="AK32" i="1"/>
  <c r="AX32" i="1"/>
  <c r="AV32" i="1"/>
  <c r="AZ32" i="1"/>
  <c r="AS32" i="1"/>
  <c r="AU32" i="1"/>
  <c r="AT32" i="1"/>
  <c r="AW32" i="1"/>
  <c r="AY24" i="1"/>
  <c r="AK24" i="1"/>
  <c r="AX24" i="1"/>
  <c r="AV24" i="1"/>
  <c r="AZ24" i="1"/>
  <c r="AS24" i="1"/>
  <c r="AU24" i="1"/>
  <c r="AW24" i="1"/>
  <c r="AT24" i="1"/>
  <c r="AY16" i="1"/>
  <c r="AK16" i="1"/>
  <c r="AX16" i="1"/>
  <c r="AV16" i="1"/>
  <c r="AZ16" i="1"/>
  <c r="AS16" i="1"/>
  <c r="AU16" i="1"/>
  <c r="AW16" i="1"/>
  <c r="AT16" i="1"/>
  <c r="AY8" i="1"/>
  <c r="AK8" i="1"/>
  <c r="AX8" i="1"/>
  <c r="AV8" i="1"/>
  <c r="AZ8" i="1"/>
  <c r="AS8" i="1"/>
  <c r="AU8" i="1"/>
  <c r="AW8" i="1"/>
  <c r="AT8" i="1"/>
  <c r="AT98" i="1"/>
  <c r="AT34" i="1"/>
  <c r="AW104" i="1"/>
  <c r="AW105" i="1"/>
  <c r="AY105" i="1"/>
  <c r="AK105" i="1"/>
  <c r="AX105" i="1"/>
  <c r="AV105" i="1"/>
  <c r="AS105" i="1"/>
  <c r="AU105" i="1"/>
  <c r="AZ105" i="1"/>
  <c r="AT105" i="1"/>
  <c r="AW57" i="1"/>
  <c r="AY57" i="1"/>
  <c r="AK57" i="1"/>
  <c r="AX57" i="1"/>
  <c r="AV57" i="1"/>
  <c r="AS57" i="1"/>
  <c r="AU57" i="1"/>
  <c r="AZ57" i="1"/>
  <c r="AT57" i="1"/>
  <c r="AW17" i="1"/>
  <c r="AY17" i="1"/>
  <c r="AK17" i="1"/>
  <c r="AX17" i="1"/>
  <c r="AV17" i="1"/>
  <c r="AZ17" i="1"/>
  <c r="AS17" i="1"/>
  <c r="AU17" i="1"/>
  <c r="AT17" i="1"/>
  <c r="AY111" i="1"/>
  <c r="AK111" i="1"/>
  <c r="AX111" i="1"/>
  <c r="AZ111" i="1"/>
  <c r="AW111" i="1"/>
  <c r="AU111" i="1"/>
  <c r="AT111" i="1"/>
  <c r="AV111" i="1"/>
  <c r="AY103" i="1"/>
  <c r="AK103" i="1"/>
  <c r="AX103" i="1"/>
  <c r="AV103" i="1"/>
  <c r="AZ103" i="1"/>
  <c r="AW103" i="1"/>
  <c r="AU103" i="1"/>
  <c r="AT103" i="1"/>
  <c r="AY95" i="1"/>
  <c r="AK95" i="1"/>
  <c r="AX95" i="1"/>
  <c r="AV95" i="1"/>
  <c r="AZ95" i="1"/>
  <c r="AW95" i="1"/>
  <c r="AU95" i="1"/>
  <c r="AT95" i="1"/>
  <c r="AY87" i="1"/>
  <c r="AK87" i="1"/>
  <c r="AX87" i="1"/>
  <c r="AV87" i="1"/>
  <c r="AZ87" i="1"/>
  <c r="AW87" i="1"/>
  <c r="AU87" i="1"/>
  <c r="AT87" i="1"/>
  <c r="AY79" i="1"/>
  <c r="AK79" i="1"/>
  <c r="AX79" i="1"/>
  <c r="AV79" i="1"/>
  <c r="AZ79" i="1"/>
  <c r="AW79" i="1"/>
  <c r="AU79" i="1"/>
  <c r="AT79" i="1"/>
  <c r="AY71" i="1"/>
  <c r="AK71" i="1"/>
  <c r="AX71" i="1"/>
  <c r="AV71" i="1"/>
  <c r="AZ71" i="1"/>
  <c r="AW71" i="1"/>
  <c r="AU71" i="1"/>
  <c r="AT71" i="1"/>
  <c r="AY63" i="1"/>
  <c r="AK63" i="1"/>
  <c r="AX63" i="1"/>
  <c r="AV63" i="1"/>
  <c r="AZ63" i="1"/>
  <c r="AW63" i="1"/>
  <c r="AU63" i="1"/>
  <c r="AT63" i="1"/>
  <c r="AY55" i="1"/>
  <c r="AK55" i="1"/>
  <c r="AX55" i="1"/>
  <c r="AV55" i="1"/>
  <c r="AZ55" i="1"/>
  <c r="AW55" i="1"/>
  <c r="AU55" i="1"/>
  <c r="AT55" i="1"/>
  <c r="AY47" i="1"/>
  <c r="AK47" i="1"/>
  <c r="AX47" i="1"/>
  <c r="AV47" i="1"/>
  <c r="AZ47" i="1"/>
  <c r="AW47" i="1"/>
  <c r="AU47" i="1"/>
  <c r="AT47" i="1"/>
  <c r="AY39" i="1"/>
  <c r="AK39" i="1"/>
  <c r="AX39" i="1"/>
  <c r="AV39" i="1"/>
  <c r="AZ39" i="1"/>
  <c r="AW39" i="1"/>
  <c r="AU39" i="1"/>
  <c r="AT39" i="1"/>
  <c r="AY31" i="1"/>
  <c r="AK31" i="1"/>
  <c r="AX31" i="1"/>
  <c r="AV31" i="1"/>
  <c r="AZ31" i="1"/>
  <c r="AW31" i="1"/>
  <c r="AU31" i="1"/>
  <c r="AT31" i="1"/>
  <c r="AY23" i="1"/>
  <c r="AK23" i="1"/>
  <c r="AX23" i="1"/>
  <c r="AV23" i="1"/>
  <c r="AZ23" i="1"/>
  <c r="AW23" i="1"/>
  <c r="AU23" i="1"/>
  <c r="AT23" i="1"/>
  <c r="AY15" i="1"/>
  <c r="AK15" i="1"/>
  <c r="AX15" i="1"/>
  <c r="AV15" i="1"/>
  <c r="AZ15" i="1"/>
  <c r="AW15" i="1"/>
  <c r="AU15" i="1"/>
  <c r="AT15" i="1"/>
  <c r="AY7" i="1"/>
  <c r="AK7" i="1"/>
  <c r="AX7" i="1"/>
  <c r="AV7" i="1"/>
  <c r="AZ7" i="1"/>
  <c r="AW7" i="1"/>
  <c r="AU7" i="1"/>
  <c r="AT7" i="1"/>
  <c r="AS103" i="1"/>
  <c r="AS39" i="1"/>
  <c r="AT90" i="1"/>
  <c r="AT26" i="1"/>
  <c r="AW40" i="1"/>
  <c r="AW89" i="1"/>
  <c r="AY89" i="1"/>
  <c r="AK89" i="1"/>
  <c r="AX89" i="1"/>
  <c r="AV89" i="1"/>
  <c r="AS89" i="1"/>
  <c r="AZ89" i="1"/>
  <c r="AU89" i="1"/>
  <c r="AT89" i="1"/>
  <c r="AW41" i="1"/>
  <c r="AY41" i="1"/>
  <c r="AK41" i="1"/>
  <c r="AX41" i="1"/>
  <c r="AV41" i="1"/>
  <c r="AS41" i="1"/>
  <c r="AU41" i="1"/>
  <c r="AZ41" i="1"/>
  <c r="AT41" i="1"/>
  <c r="AW9" i="1"/>
  <c r="AY9" i="1"/>
  <c r="AK9" i="1"/>
  <c r="AX9" i="1"/>
  <c r="AV9" i="1"/>
  <c r="AZ9" i="1"/>
  <c r="AS9" i="1"/>
  <c r="AU9" i="1"/>
  <c r="AT9" i="1"/>
  <c r="AM103" i="1"/>
  <c r="AK110" i="1"/>
  <c r="AX110" i="1"/>
  <c r="AZ110" i="1"/>
  <c r="AW110" i="1"/>
  <c r="AU110" i="1"/>
  <c r="AY110" i="1"/>
  <c r="AT110" i="1"/>
  <c r="AV110" i="1"/>
  <c r="AS110" i="1"/>
  <c r="AK94" i="1"/>
  <c r="AX94" i="1"/>
  <c r="AZ94" i="1"/>
  <c r="AW94" i="1"/>
  <c r="AU94" i="1"/>
  <c r="AY94" i="1"/>
  <c r="AT94" i="1"/>
  <c r="AS94" i="1"/>
  <c r="AK86" i="1"/>
  <c r="AX86" i="1"/>
  <c r="AZ86" i="1"/>
  <c r="AW86" i="1"/>
  <c r="AY86" i="1"/>
  <c r="AU86" i="1"/>
  <c r="AT86" i="1"/>
  <c r="AV86" i="1"/>
  <c r="AS86" i="1"/>
  <c r="AK70" i="1"/>
  <c r="AX70" i="1"/>
  <c r="AZ70" i="1"/>
  <c r="AW70" i="1"/>
  <c r="AU70" i="1"/>
  <c r="AV70" i="1"/>
  <c r="AT70" i="1"/>
  <c r="AY70" i="1"/>
  <c r="AS70" i="1"/>
  <c r="AK62" i="1"/>
  <c r="AX62" i="1"/>
  <c r="AZ62" i="1"/>
  <c r="AW62" i="1"/>
  <c r="AU62" i="1"/>
  <c r="AT62" i="1"/>
  <c r="AY62" i="1"/>
  <c r="AS62" i="1"/>
  <c r="AK54" i="1"/>
  <c r="AX54" i="1"/>
  <c r="AV54" i="1"/>
  <c r="AZ54" i="1"/>
  <c r="AW54" i="1"/>
  <c r="AU54" i="1"/>
  <c r="AT54" i="1"/>
  <c r="AY54" i="1"/>
  <c r="AS54" i="1"/>
  <c r="AK30" i="1"/>
  <c r="AX30" i="1"/>
  <c r="AV30" i="1"/>
  <c r="AZ30" i="1"/>
  <c r="AW30" i="1"/>
  <c r="AU30" i="1"/>
  <c r="AY30" i="1"/>
  <c r="AT30" i="1"/>
  <c r="AS30" i="1"/>
  <c r="AK22" i="1"/>
  <c r="AX22" i="1"/>
  <c r="AV22" i="1"/>
  <c r="AZ22" i="1"/>
  <c r="AW22" i="1"/>
  <c r="AY22" i="1"/>
  <c r="AU22" i="1"/>
  <c r="AT22" i="1"/>
  <c r="AS22" i="1"/>
  <c r="AK14" i="1"/>
  <c r="AX14" i="1"/>
  <c r="AV14" i="1"/>
  <c r="AZ14" i="1"/>
  <c r="AW14" i="1"/>
  <c r="AU14" i="1"/>
  <c r="AT14" i="1"/>
  <c r="AS14" i="1"/>
  <c r="AK6" i="1"/>
  <c r="AX6" i="1"/>
  <c r="AV6" i="1"/>
  <c r="AZ6" i="1"/>
  <c r="AW6" i="1"/>
  <c r="AU6" i="1"/>
  <c r="AT6" i="1"/>
  <c r="AY6" i="1"/>
  <c r="AS6" i="1"/>
  <c r="AS95" i="1"/>
  <c r="AS31" i="1"/>
  <c r="AT82" i="1"/>
  <c r="AT18" i="1"/>
  <c r="AW113" i="1"/>
  <c r="AY113" i="1"/>
  <c r="AK113" i="1"/>
  <c r="AX113" i="1"/>
  <c r="AV113" i="1"/>
  <c r="AS113" i="1"/>
  <c r="AU113" i="1"/>
  <c r="AZ113" i="1"/>
  <c r="AT113" i="1"/>
  <c r="AW65" i="1"/>
  <c r="AY65" i="1"/>
  <c r="AK65" i="1"/>
  <c r="AX65" i="1"/>
  <c r="AV65" i="1"/>
  <c r="AS65" i="1"/>
  <c r="AU65" i="1"/>
  <c r="AT65" i="1"/>
  <c r="AW33" i="1"/>
  <c r="AY33" i="1"/>
  <c r="AK33" i="1"/>
  <c r="AX33" i="1"/>
  <c r="AV33" i="1"/>
  <c r="AS33" i="1"/>
  <c r="AZ33" i="1"/>
  <c r="AU33" i="1"/>
  <c r="AT33" i="1"/>
  <c r="AM41" i="1"/>
  <c r="AK102" i="1"/>
  <c r="AX102" i="1"/>
  <c r="AZ102" i="1"/>
  <c r="AW102" i="1"/>
  <c r="AU102" i="1"/>
  <c r="AV102" i="1"/>
  <c r="AY102" i="1"/>
  <c r="AT102" i="1"/>
  <c r="AS102" i="1"/>
  <c r="AK78" i="1"/>
  <c r="AX78" i="1"/>
  <c r="AZ78" i="1"/>
  <c r="AW78" i="1"/>
  <c r="AU78" i="1"/>
  <c r="AV78" i="1"/>
  <c r="AT78" i="1"/>
  <c r="AS78" i="1"/>
  <c r="AK38" i="1"/>
  <c r="AX38" i="1"/>
  <c r="AV38" i="1"/>
  <c r="AZ38" i="1"/>
  <c r="AW38" i="1"/>
  <c r="AU38" i="1"/>
  <c r="AY38" i="1"/>
  <c r="AT38" i="1"/>
  <c r="AS38" i="1"/>
  <c r="AL110" i="1"/>
  <c r="AL87" i="1"/>
  <c r="AL67" i="1"/>
  <c r="AL11" i="1"/>
  <c r="AM113" i="1"/>
  <c r="AM38" i="1"/>
  <c r="AM35" i="1"/>
  <c r="AM81" i="1"/>
  <c r="AL38" i="1"/>
  <c r="AL6" i="1"/>
  <c r="AX109" i="1"/>
  <c r="AZ109" i="1"/>
  <c r="AW109" i="1"/>
  <c r="AY109" i="1"/>
  <c r="AT109" i="1"/>
  <c r="AV109" i="1"/>
  <c r="AS109" i="1"/>
  <c r="AK109" i="1"/>
  <c r="AX101" i="1"/>
  <c r="AV101" i="1"/>
  <c r="AZ101" i="1"/>
  <c r="AW101" i="1"/>
  <c r="AY101" i="1"/>
  <c r="AT101" i="1"/>
  <c r="AK101" i="1"/>
  <c r="AS101" i="1"/>
  <c r="AX93" i="1"/>
  <c r="AV93" i="1"/>
  <c r="AZ93" i="1"/>
  <c r="AW93" i="1"/>
  <c r="AY93" i="1"/>
  <c r="AT93" i="1"/>
  <c r="AK93" i="1"/>
  <c r="AS93" i="1"/>
  <c r="AX85" i="1"/>
  <c r="AV85" i="1"/>
  <c r="AZ85" i="1"/>
  <c r="AW85" i="1"/>
  <c r="AY85" i="1"/>
  <c r="AT85" i="1"/>
  <c r="AK85" i="1"/>
  <c r="AS85" i="1"/>
  <c r="AX77" i="1"/>
  <c r="AV77" i="1"/>
  <c r="AZ77" i="1"/>
  <c r="AW77" i="1"/>
  <c r="AY77" i="1"/>
  <c r="AK77" i="1"/>
  <c r="AT77" i="1"/>
  <c r="AS77" i="1"/>
  <c r="AX69" i="1"/>
  <c r="AV69" i="1"/>
  <c r="AZ69" i="1"/>
  <c r="AW69" i="1"/>
  <c r="AY69" i="1"/>
  <c r="AK69" i="1"/>
  <c r="AT69" i="1"/>
  <c r="AS69" i="1"/>
  <c r="AX61" i="1"/>
  <c r="AV61" i="1"/>
  <c r="AZ61" i="1"/>
  <c r="AW61" i="1"/>
  <c r="AY61" i="1"/>
  <c r="AK61" i="1"/>
  <c r="AT61" i="1"/>
  <c r="AS61" i="1"/>
  <c r="AX53" i="1"/>
  <c r="AV53" i="1"/>
  <c r="AZ53" i="1"/>
  <c r="AW53" i="1"/>
  <c r="AY53" i="1"/>
  <c r="AT53" i="1"/>
  <c r="AS53" i="1"/>
  <c r="AX45" i="1"/>
  <c r="AV45" i="1"/>
  <c r="AZ45" i="1"/>
  <c r="AW45" i="1"/>
  <c r="AY45" i="1"/>
  <c r="AT45" i="1"/>
  <c r="AS45" i="1"/>
  <c r="AK45" i="1"/>
  <c r="AX37" i="1"/>
  <c r="AV37" i="1"/>
  <c r="AZ37" i="1"/>
  <c r="AW37" i="1"/>
  <c r="AY37" i="1"/>
  <c r="AT37" i="1"/>
  <c r="AK37" i="1"/>
  <c r="AS37" i="1"/>
  <c r="AX29" i="1"/>
  <c r="AV29" i="1"/>
  <c r="AZ29" i="1"/>
  <c r="AW29" i="1"/>
  <c r="AY29" i="1"/>
  <c r="AT29" i="1"/>
  <c r="AK29" i="1"/>
  <c r="AS29" i="1"/>
  <c r="AX21" i="1"/>
  <c r="AV21" i="1"/>
  <c r="AZ21" i="1"/>
  <c r="AW21" i="1"/>
  <c r="AY21" i="1"/>
  <c r="AT21" i="1"/>
  <c r="AK21" i="1"/>
  <c r="AS21" i="1"/>
  <c r="AX13" i="1"/>
  <c r="AV13" i="1"/>
  <c r="AZ13" i="1"/>
  <c r="AW13" i="1"/>
  <c r="AY13" i="1"/>
  <c r="AK13" i="1"/>
  <c r="AT13" i="1"/>
  <c r="AS13" i="1"/>
  <c r="AX5" i="1"/>
  <c r="AV5" i="1"/>
  <c r="AZ5" i="1"/>
  <c r="AW5" i="1"/>
  <c r="AY5" i="1"/>
  <c r="AK5" i="1"/>
  <c r="AT5" i="1"/>
  <c r="AS5" i="1"/>
  <c r="AS87" i="1"/>
  <c r="AS23" i="1"/>
  <c r="AU61" i="1"/>
  <c r="AV112" i="1"/>
  <c r="AW81" i="1"/>
  <c r="AY81" i="1"/>
  <c r="AK81" i="1"/>
  <c r="AX81" i="1"/>
  <c r="AV81" i="1"/>
  <c r="AZ81" i="1"/>
  <c r="AS81" i="1"/>
  <c r="AU81" i="1"/>
  <c r="AT81" i="1"/>
  <c r="AM9" i="1"/>
  <c r="AK46" i="1"/>
  <c r="AX46" i="1"/>
  <c r="AV46" i="1"/>
  <c r="AZ46" i="1"/>
  <c r="AW46" i="1"/>
  <c r="AU46" i="1"/>
  <c r="AY46" i="1"/>
  <c r="AT46" i="1"/>
  <c r="AS46" i="1"/>
  <c r="AL99" i="1"/>
  <c r="AL86" i="1"/>
  <c r="AL43" i="1"/>
  <c r="AL31" i="1"/>
  <c r="AL9" i="1"/>
  <c r="AM87" i="1"/>
  <c r="AM63" i="1"/>
  <c r="AM49" i="1"/>
  <c r="AM23" i="1"/>
  <c r="AM110" i="1"/>
  <c r="AM70" i="1"/>
  <c r="AL33" i="1"/>
  <c r="AM66" i="1"/>
  <c r="AX108" i="1"/>
  <c r="AZ108" i="1"/>
  <c r="AW108" i="1"/>
  <c r="AY108" i="1"/>
  <c r="AK108" i="1"/>
  <c r="AT108" i="1"/>
  <c r="AV108" i="1"/>
  <c r="AS108" i="1"/>
  <c r="AU108" i="1"/>
  <c r="AX100" i="1"/>
  <c r="AV100" i="1"/>
  <c r="AZ100" i="1"/>
  <c r="AW100" i="1"/>
  <c r="AY100" i="1"/>
  <c r="AK100" i="1"/>
  <c r="AT100" i="1"/>
  <c r="AS100" i="1"/>
  <c r="AU100" i="1"/>
  <c r="AX92" i="1"/>
  <c r="AV92" i="1"/>
  <c r="AZ92" i="1"/>
  <c r="AW92" i="1"/>
  <c r="AY92" i="1"/>
  <c r="AK92" i="1"/>
  <c r="AT92" i="1"/>
  <c r="AS92" i="1"/>
  <c r="AU92" i="1"/>
  <c r="AX84" i="1"/>
  <c r="AV84" i="1"/>
  <c r="AZ84" i="1"/>
  <c r="AW84" i="1"/>
  <c r="AY84" i="1"/>
  <c r="AK84" i="1"/>
  <c r="AT84" i="1"/>
  <c r="AS84" i="1"/>
  <c r="AU84" i="1"/>
  <c r="AX76" i="1"/>
  <c r="AV76" i="1"/>
  <c r="AZ76" i="1"/>
  <c r="AW76" i="1"/>
  <c r="AY76" i="1"/>
  <c r="AK76" i="1"/>
  <c r="AT76" i="1"/>
  <c r="AS76" i="1"/>
  <c r="AU76" i="1"/>
  <c r="AX68" i="1"/>
  <c r="AV68" i="1"/>
  <c r="AZ68" i="1"/>
  <c r="AW68" i="1"/>
  <c r="AY68" i="1"/>
  <c r="AK68" i="1"/>
  <c r="AT68" i="1"/>
  <c r="AS68" i="1"/>
  <c r="AU68" i="1"/>
  <c r="AX60" i="1"/>
  <c r="AV60" i="1"/>
  <c r="AZ60" i="1"/>
  <c r="AW60" i="1"/>
  <c r="AY60" i="1"/>
  <c r="AK60" i="1"/>
  <c r="AT60" i="1"/>
  <c r="AS60" i="1"/>
  <c r="AU60" i="1"/>
  <c r="AX52" i="1"/>
  <c r="AV52" i="1"/>
  <c r="AZ52" i="1"/>
  <c r="AW52" i="1"/>
  <c r="AY52" i="1"/>
  <c r="AK52" i="1"/>
  <c r="AT52" i="1"/>
  <c r="AS52" i="1"/>
  <c r="AU52" i="1"/>
  <c r="AX44" i="1"/>
  <c r="AV44" i="1"/>
  <c r="AZ44" i="1"/>
  <c r="AW44" i="1"/>
  <c r="AY44" i="1"/>
  <c r="AK44" i="1"/>
  <c r="AT44" i="1"/>
  <c r="AS44" i="1"/>
  <c r="AU44" i="1"/>
  <c r="AX36" i="1"/>
  <c r="AV36" i="1"/>
  <c r="AZ36" i="1"/>
  <c r="AW36" i="1"/>
  <c r="AY36" i="1"/>
  <c r="AK36" i="1"/>
  <c r="AT36" i="1"/>
  <c r="AS36" i="1"/>
  <c r="AU36" i="1"/>
  <c r="AX28" i="1"/>
  <c r="AV28" i="1"/>
  <c r="AZ28" i="1"/>
  <c r="AW28" i="1"/>
  <c r="AY28" i="1"/>
  <c r="AK28" i="1"/>
  <c r="AT28" i="1"/>
  <c r="AS28" i="1"/>
  <c r="AU28" i="1"/>
  <c r="AX20" i="1"/>
  <c r="AV20" i="1"/>
  <c r="AZ20" i="1"/>
  <c r="AW20" i="1"/>
  <c r="AY20" i="1"/>
  <c r="AK20" i="1"/>
  <c r="AT20" i="1"/>
  <c r="AS20" i="1"/>
  <c r="AU20" i="1"/>
  <c r="AX12" i="1"/>
  <c r="AV12" i="1"/>
  <c r="AZ12" i="1"/>
  <c r="AW12" i="1"/>
  <c r="AY12" i="1"/>
  <c r="AK12" i="1"/>
  <c r="AT12" i="1"/>
  <c r="AS12" i="1"/>
  <c r="AU12" i="1"/>
  <c r="AX4" i="1"/>
  <c r="AV4" i="1"/>
  <c r="AZ4" i="1"/>
  <c r="AW4" i="1"/>
  <c r="AY4" i="1"/>
  <c r="AK4" i="1"/>
  <c r="AT4" i="1"/>
  <c r="AS4" i="1"/>
  <c r="AU4" i="1"/>
  <c r="AS79" i="1"/>
  <c r="AS15" i="1"/>
  <c r="AU53" i="1"/>
  <c r="AV94" i="1"/>
  <c r="AY78" i="1"/>
  <c r="AL41" i="1"/>
  <c r="AM97" i="1"/>
  <c r="AM73" i="1"/>
  <c r="AM105" i="1"/>
  <c r="AM65" i="1"/>
  <c r="AZ115" i="1"/>
  <c r="AW115" i="1"/>
  <c r="AY115" i="1"/>
  <c r="AK115" i="1"/>
  <c r="AT115" i="1"/>
  <c r="AX115" i="1"/>
  <c r="AV115" i="1"/>
  <c r="AS115" i="1"/>
  <c r="AU115" i="1"/>
  <c r="AZ107" i="1"/>
  <c r="AW107" i="1"/>
  <c r="AY107" i="1"/>
  <c r="AK107" i="1"/>
  <c r="AT107" i="1"/>
  <c r="AX107" i="1"/>
  <c r="AV107" i="1"/>
  <c r="AS107" i="1"/>
  <c r="AU107" i="1"/>
  <c r="AZ99" i="1"/>
  <c r="AW99" i="1"/>
  <c r="AY99" i="1"/>
  <c r="AK99" i="1"/>
  <c r="AX99" i="1"/>
  <c r="AV99" i="1"/>
  <c r="AT99" i="1"/>
  <c r="AS99" i="1"/>
  <c r="AU99" i="1"/>
  <c r="AZ91" i="1"/>
  <c r="AW91" i="1"/>
  <c r="AY91" i="1"/>
  <c r="AK91" i="1"/>
  <c r="AT91" i="1"/>
  <c r="AS91" i="1"/>
  <c r="AU91" i="1"/>
  <c r="AV91" i="1"/>
  <c r="AZ83" i="1"/>
  <c r="AW83" i="1"/>
  <c r="AY83" i="1"/>
  <c r="AK83" i="1"/>
  <c r="AT83" i="1"/>
  <c r="AS83" i="1"/>
  <c r="AV83" i="1"/>
  <c r="AU83" i="1"/>
  <c r="AX83" i="1"/>
  <c r="AZ75" i="1"/>
  <c r="AW75" i="1"/>
  <c r="AY75" i="1"/>
  <c r="AK75" i="1"/>
  <c r="AT75" i="1"/>
  <c r="AV75" i="1"/>
  <c r="AS75" i="1"/>
  <c r="AX75" i="1"/>
  <c r="AU75" i="1"/>
  <c r="AZ67" i="1"/>
  <c r="AW67" i="1"/>
  <c r="AY67" i="1"/>
  <c r="AK67" i="1"/>
  <c r="AV67" i="1"/>
  <c r="AT67" i="1"/>
  <c r="AS67" i="1"/>
  <c r="AX67" i="1"/>
  <c r="AU67" i="1"/>
  <c r="AZ59" i="1"/>
  <c r="AW59" i="1"/>
  <c r="AY59" i="1"/>
  <c r="AK59" i="1"/>
  <c r="AT59" i="1"/>
  <c r="AX59" i="1"/>
  <c r="AS59" i="1"/>
  <c r="AU59" i="1"/>
  <c r="AV59" i="1"/>
  <c r="AZ51" i="1"/>
  <c r="AW51" i="1"/>
  <c r="AY51" i="1"/>
  <c r="AK51" i="1"/>
  <c r="AT51" i="1"/>
  <c r="AX51" i="1"/>
  <c r="AS51" i="1"/>
  <c r="AV51" i="1"/>
  <c r="AU51" i="1"/>
  <c r="AZ43" i="1"/>
  <c r="AW43" i="1"/>
  <c r="AY43" i="1"/>
  <c r="AK43" i="1"/>
  <c r="AT43" i="1"/>
  <c r="AX43" i="1"/>
  <c r="AS43" i="1"/>
  <c r="AV43" i="1"/>
  <c r="AU43" i="1"/>
  <c r="AZ35" i="1"/>
  <c r="AW35" i="1"/>
  <c r="AY35" i="1"/>
  <c r="AK35" i="1"/>
  <c r="AX35" i="1"/>
  <c r="AT35" i="1"/>
  <c r="AV35" i="1"/>
  <c r="AS35" i="1"/>
  <c r="AU35" i="1"/>
  <c r="AZ27" i="1"/>
  <c r="AW27" i="1"/>
  <c r="AY27" i="1"/>
  <c r="AK27" i="1"/>
  <c r="AT27" i="1"/>
  <c r="AV27" i="1"/>
  <c r="AS27" i="1"/>
  <c r="AU27" i="1"/>
  <c r="AZ19" i="1"/>
  <c r="AW19" i="1"/>
  <c r="AY19" i="1"/>
  <c r="AK19" i="1"/>
  <c r="AT19" i="1"/>
  <c r="AV19" i="1"/>
  <c r="AS19" i="1"/>
  <c r="AU19" i="1"/>
  <c r="AX19" i="1"/>
  <c r="AZ11" i="1"/>
  <c r="AW11" i="1"/>
  <c r="AY11" i="1"/>
  <c r="AK11" i="1"/>
  <c r="AV11" i="1"/>
  <c r="AT11" i="1"/>
  <c r="AS11" i="1"/>
  <c r="AX11" i="1"/>
  <c r="AU11" i="1"/>
  <c r="AZ3" i="1"/>
  <c r="AW3" i="1"/>
  <c r="AY3" i="1"/>
  <c r="AK3" i="1"/>
  <c r="AT3" i="1"/>
  <c r="AS3" i="1"/>
  <c r="AX3" i="1"/>
  <c r="AU3" i="1"/>
  <c r="AS71" i="1"/>
  <c r="AS7" i="1"/>
  <c r="AU109" i="1"/>
  <c r="AU45" i="1"/>
  <c r="AV62" i="1"/>
  <c r="AY14" i="1"/>
  <c r="AW49" i="1"/>
  <c r="AY49" i="1"/>
  <c r="AK49" i="1"/>
  <c r="AX49" i="1"/>
  <c r="AV49" i="1"/>
  <c r="AS49" i="1"/>
  <c r="AU49" i="1"/>
  <c r="AZ49" i="1"/>
  <c r="AT49" i="1"/>
  <c r="AL73" i="1"/>
  <c r="AL49" i="1"/>
  <c r="AM33" i="1"/>
  <c r="AL25" i="1"/>
  <c r="AM114" i="1"/>
  <c r="AZ114" i="1"/>
  <c r="AW114" i="1"/>
  <c r="AY114" i="1"/>
  <c r="AK114" i="1"/>
  <c r="AX114" i="1"/>
  <c r="AV114" i="1"/>
  <c r="AS114" i="1"/>
  <c r="AU114" i="1"/>
  <c r="AM106" i="1"/>
  <c r="AZ106" i="1"/>
  <c r="AW106" i="1"/>
  <c r="AY106" i="1"/>
  <c r="AK106" i="1"/>
  <c r="AX106" i="1"/>
  <c r="AV106" i="1"/>
  <c r="AS106" i="1"/>
  <c r="AU106" i="1"/>
  <c r="AM98" i="1"/>
  <c r="AZ98" i="1"/>
  <c r="AW98" i="1"/>
  <c r="AY98" i="1"/>
  <c r="AK98" i="1"/>
  <c r="AX98" i="1"/>
  <c r="AV98" i="1"/>
  <c r="AS98" i="1"/>
  <c r="AU98" i="1"/>
  <c r="AM90" i="1"/>
  <c r="AZ90" i="1"/>
  <c r="AW90" i="1"/>
  <c r="AY90" i="1"/>
  <c r="AK90" i="1"/>
  <c r="AX90" i="1"/>
  <c r="AV90" i="1"/>
  <c r="AS90" i="1"/>
  <c r="AU90" i="1"/>
  <c r="AM82" i="1"/>
  <c r="AZ82" i="1"/>
  <c r="AW82" i="1"/>
  <c r="AY82" i="1"/>
  <c r="AK82" i="1"/>
  <c r="AX82" i="1"/>
  <c r="AV82" i="1"/>
  <c r="AS82" i="1"/>
  <c r="AU82" i="1"/>
  <c r="AM74" i="1"/>
  <c r="AZ74" i="1"/>
  <c r="AW74" i="1"/>
  <c r="AY74" i="1"/>
  <c r="AK74" i="1"/>
  <c r="AX74" i="1"/>
  <c r="AV74" i="1"/>
  <c r="AS74" i="1"/>
  <c r="AU74" i="1"/>
  <c r="AZ66" i="1"/>
  <c r="AW66" i="1"/>
  <c r="AY66" i="1"/>
  <c r="AK66" i="1"/>
  <c r="AX66" i="1"/>
  <c r="AV66" i="1"/>
  <c r="AS66" i="1"/>
  <c r="AU66" i="1"/>
  <c r="AL58" i="1"/>
  <c r="AZ58" i="1"/>
  <c r="AW58" i="1"/>
  <c r="AY58" i="1"/>
  <c r="AK58" i="1"/>
  <c r="AX58" i="1"/>
  <c r="AV58" i="1"/>
  <c r="AS58" i="1"/>
  <c r="AU58" i="1"/>
  <c r="AL50" i="1"/>
  <c r="AZ50" i="1"/>
  <c r="AW50" i="1"/>
  <c r="AY50" i="1"/>
  <c r="AK50" i="1"/>
  <c r="AX50" i="1"/>
  <c r="AV50" i="1"/>
  <c r="AS50" i="1"/>
  <c r="AU50" i="1"/>
  <c r="AM42" i="1"/>
  <c r="AZ42" i="1"/>
  <c r="AW42" i="1"/>
  <c r="AY42" i="1"/>
  <c r="AK42" i="1"/>
  <c r="AX42" i="1"/>
  <c r="AV42" i="1"/>
  <c r="AS42" i="1"/>
  <c r="AU42" i="1"/>
  <c r="AM34" i="1"/>
  <c r="AZ34" i="1"/>
  <c r="AW34" i="1"/>
  <c r="AY34" i="1"/>
  <c r="AK34" i="1"/>
  <c r="AX34" i="1"/>
  <c r="AV34" i="1"/>
  <c r="AS34" i="1"/>
  <c r="AU34" i="1"/>
  <c r="AM26" i="1"/>
  <c r="AZ26" i="1"/>
  <c r="AW26" i="1"/>
  <c r="AY26" i="1"/>
  <c r="AK26" i="1"/>
  <c r="AX26" i="1"/>
  <c r="AV26" i="1"/>
  <c r="AS26" i="1"/>
  <c r="AU26" i="1"/>
  <c r="AM18" i="1"/>
  <c r="AZ18" i="1"/>
  <c r="AW18" i="1"/>
  <c r="AY18" i="1"/>
  <c r="AK18" i="1"/>
  <c r="AX18" i="1"/>
  <c r="AV18" i="1"/>
  <c r="AS18" i="1"/>
  <c r="AU18" i="1"/>
  <c r="AM10" i="1"/>
  <c r="AZ10" i="1"/>
  <c r="AW10" i="1"/>
  <c r="AY10" i="1"/>
  <c r="AK10" i="1"/>
  <c r="AX10" i="1"/>
  <c r="AV10" i="1"/>
  <c r="AS10" i="1"/>
  <c r="AU10" i="1"/>
  <c r="AS63" i="1"/>
  <c r="AT114" i="1"/>
  <c r="AT50" i="1"/>
  <c r="AU101" i="1"/>
  <c r="AU37" i="1"/>
  <c r="AV3" i="1"/>
  <c r="AZ65" i="1"/>
  <c r="AL57" i="1"/>
  <c r="AL30" i="1"/>
  <c r="AM25" i="1"/>
  <c r="AM58" i="1"/>
  <c r="AL102" i="1"/>
  <c r="AL65" i="1"/>
  <c r="AL81" i="1"/>
  <c r="AL54" i="1"/>
  <c r="AL89" i="1"/>
  <c r="AL62" i="1"/>
  <c r="AL70" i="1"/>
  <c r="AL114" i="1"/>
  <c r="AL106" i="1"/>
  <c r="AL98" i="1"/>
  <c r="AL90" i="1"/>
  <c r="AL82" i="1"/>
  <c r="AL74" i="1"/>
  <c r="AL66" i="1"/>
  <c r="AL42" i="1"/>
  <c r="AL34" i="1"/>
  <c r="AL26" i="1"/>
  <c r="AL18" i="1"/>
  <c r="AL10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A173" i="1" l="1"/>
  <c r="A167" i="1"/>
  <c r="A168" i="1"/>
  <c r="A172" i="1"/>
  <c r="AG112" i="1"/>
  <c r="AI112" i="1" s="1"/>
  <c r="AN112" i="1"/>
  <c r="AG104" i="1"/>
  <c r="AN104" i="1"/>
  <c r="AG96" i="1"/>
  <c r="AN96" i="1"/>
  <c r="AG88" i="1"/>
  <c r="AI88" i="1" s="1"/>
  <c r="AN88" i="1"/>
  <c r="AG80" i="1"/>
  <c r="AN80" i="1"/>
  <c r="AG72" i="1"/>
  <c r="AN72" i="1"/>
  <c r="AG64" i="1"/>
  <c r="AN64" i="1"/>
  <c r="AG56" i="1"/>
  <c r="AN56" i="1"/>
  <c r="AG48" i="1"/>
  <c r="AN48" i="1"/>
  <c r="AG40" i="1"/>
  <c r="AN40" i="1"/>
  <c r="AG32" i="1"/>
  <c r="AN32" i="1"/>
  <c r="AG24" i="1"/>
  <c r="AI24" i="1" s="1"/>
  <c r="AN24" i="1"/>
  <c r="AG16" i="1"/>
  <c r="AN16" i="1"/>
  <c r="AG8" i="1"/>
  <c r="AN8" i="1"/>
  <c r="AG111" i="1"/>
  <c r="AN111" i="1"/>
  <c r="AG103" i="1"/>
  <c r="AI103" i="1" s="1"/>
  <c r="AN103" i="1"/>
  <c r="AG95" i="1"/>
  <c r="AN95" i="1"/>
  <c r="AG87" i="1"/>
  <c r="AN87" i="1"/>
  <c r="AG79" i="1"/>
  <c r="AN79" i="1"/>
  <c r="AG71" i="1"/>
  <c r="AI71" i="1" s="1"/>
  <c r="AN71" i="1"/>
  <c r="AG63" i="1"/>
  <c r="AN63" i="1"/>
  <c r="AG55" i="1"/>
  <c r="AN55" i="1"/>
  <c r="AG47" i="1"/>
  <c r="AN47" i="1"/>
  <c r="AG39" i="1"/>
  <c r="AN39" i="1"/>
  <c r="AG31" i="1"/>
  <c r="AN31" i="1"/>
  <c r="AG23" i="1"/>
  <c r="AN23" i="1"/>
  <c r="AG15" i="1"/>
  <c r="AN15" i="1"/>
  <c r="AG7" i="1"/>
  <c r="AI7" i="1" s="1"/>
  <c r="AN7" i="1"/>
  <c r="AG110" i="1"/>
  <c r="AN110" i="1"/>
  <c r="AG102" i="1"/>
  <c r="AN102" i="1"/>
  <c r="AG94" i="1"/>
  <c r="AN94" i="1"/>
  <c r="AG86" i="1"/>
  <c r="AN86" i="1"/>
  <c r="AG78" i="1"/>
  <c r="AN78" i="1"/>
  <c r="AG70" i="1"/>
  <c r="AN70" i="1"/>
  <c r="AG62" i="1"/>
  <c r="AN62" i="1"/>
  <c r="AG54" i="1"/>
  <c r="AI54" i="1" s="1"/>
  <c r="AN54" i="1"/>
  <c r="AG46" i="1"/>
  <c r="AN46" i="1"/>
  <c r="AG38" i="1"/>
  <c r="AN38" i="1"/>
  <c r="AG30" i="1"/>
  <c r="AI30" i="1" s="1"/>
  <c r="AN30" i="1"/>
  <c r="AG22" i="1"/>
  <c r="AN22" i="1"/>
  <c r="AG14" i="1"/>
  <c r="AN14" i="1"/>
  <c r="AG6" i="1"/>
  <c r="AN6" i="1"/>
  <c r="AN109" i="1"/>
  <c r="AN101" i="1"/>
  <c r="AN93" i="1"/>
  <c r="AN85" i="1"/>
  <c r="AN77" i="1"/>
  <c r="AN69" i="1"/>
  <c r="AG61" i="1"/>
  <c r="AN61" i="1"/>
  <c r="AN53" i="1"/>
  <c r="AN45" i="1"/>
  <c r="AN37" i="1"/>
  <c r="AN29" i="1"/>
  <c r="AN21" i="1"/>
  <c r="AN13" i="1"/>
  <c r="AN5" i="1"/>
  <c r="AN108" i="1"/>
  <c r="AN100" i="1"/>
  <c r="AN92" i="1"/>
  <c r="AN84" i="1"/>
  <c r="AN76" i="1"/>
  <c r="AN68" i="1"/>
  <c r="AN60" i="1"/>
  <c r="AN52" i="1"/>
  <c r="AN44" i="1"/>
  <c r="AN36" i="1"/>
  <c r="AN28" i="1"/>
  <c r="AN20" i="1"/>
  <c r="AN12" i="1"/>
  <c r="AN4" i="1"/>
  <c r="AG115" i="1"/>
  <c r="AN115" i="1"/>
  <c r="AN107" i="1"/>
  <c r="AN99" i="1"/>
  <c r="AN91" i="1"/>
  <c r="AN83" i="1"/>
  <c r="AN75" i="1"/>
  <c r="AN67" i="1"/>
  <c r="AN59" i="1"/>
  <c r="AN51" i="1"/>
  <c r="AN43" i="1"/>
  <c r="AN35" i="1"/>
  <c r="AN27" i="1"/>
  <c r="AN19" i="1"/>
  <c r="AN11" i="1"/>
  <c r="AN3" i="1"/>
  <c r="AH114" i="1"/>
  <c r="AR114" i="1" s="1"/>
  <c r="AN114" i="1"/>
  <c r="AH106" i="1"/>
  <c r="AR106" i="1" s="1"/>
  <c r="AN106" i="1"/>
  <c r="AH98" i="1"/>
  <c r="AR98" i="1" s="1"/>
  <c r="AN98" i="1"/>
  <c r="AH90" i="1"/>
  <c r="AR90" i="1" s="1"/>
  <c r="AN90" i="1"/>
  <c r="AH82" i="1"/>
  <c r="AR82" i="1" s="1"/>
  <c r="AN82" i="1"/>
  <c r="AN74" i="1"/>
  <c r="AH66" i="1"/>
  <c r="AR66" i="1" s="1"/>
  <c r="AN66" i="1"/>
  <c r="AH58" i="1"/>
  <c r="AR58" i="1" s="1"/>
  <c r="AN58" i="1"/>
  <c r="AH50" i="1"/>
  <c r="AR50" i="1" s="1"/>
  <c r="AN50" i="1"/>
  <c r="AH42" i="1"/>
  <c r="AR42" i="1" s="1"/>
  <c r="AN42" i="1"/>
  <c r="AH34" i="1"/>
  <c r="AR34" i="1" s="1"/>
  <c r="AN34" i="1"/>
  <c r="AH26" i="1"/>
  <c r="AR26" i="1" s="1"/>
  <c r="AN26" i="1"/>
  <c r="AH18" i="1"/>
  <c r="AR18" i="1" s="1"/>
  <c r="AN18" i="1"/>
  <c r="AN10" i="1"/>
  <c r="AH113" i="1"/>
  <c r="AR113" i="1" s="1"/>
  <c r="AN113" i="1"/>
  <c r="AH105" i="1"/>
  <c r="AR105" i="1" s="1"/>
  <c r="AN105" i="1"/>
  <c r="AH97" i="1"/>
  <c r="AR97" i="1" s="1"/>
  <c r="AN97" i="1"/>
  <c r="AH89" i="1"/>
  <c r="AR89" i="1" s="1"/>
  <c r="AN89" i="1"/>
  <c r="AH81" i="1"/>
  <c r="AR81" i="1" s="1"/>
  <c r="AN81" i="1"/>
  <c r="AH73" i="1"/>
  <c r="AR73" i="1" s="1"/>
  <c r="AN73" i="1"/>
  <c r="AH65" i="1"/>
  <c r="AR65" i="1" s="1"/>
  <c r="AN65" i="1"/>
  <c r="AH57" i="1"/>
  <c r="AR57" i="1" s="1"/>
  <c r="AN57" i="1"/>
  <c r="AH49" i="1"/>
  <c r="AR49" i="1" s="1"/>
  <c r="AN49" i="1"/>
  <c r="AH41" i="1"/>
  <c r="AR41" i="1" s="1"/>
  <c r="AN41" i="1"/>
  <c r="AH33" i="1"/>
  <c r="AR33" i="1" s="1"/>
  <c r="AN33" i="1"/>
  <c r="AH25" i="1"/>
  <c r="AR25" i="1" s="1"/>
  <c r="AN25" i="1"/>
  <c r="AH17" i="1"/>
  <c r="AR17" i="1" s="1"/>
  <c r="AN17" i="1"/>
  <c r="AH9" i="1"/>
  <c r="AR9" i="1" s="1"/>
  <c r="AN9" i="1"/>
  <c r="W4" i="1"/>
  <c r="W114" i="1"/>
  <c r="X115" i="1"/>
  <c r="X3" i="1"/>
  <c r="U4" i="1"/>
  <c r="W113" i="1"/>
  <c r="X114" i="1"/>
  <c r="W3" i="1"/>
  <c r="U115" i="1"/>
  <c r="U3" i="1"/>
  <c r="V4" i="1"/>
  <c r="X113" i="1"/>
  <c r="U114" i="1"/>
  <c r="V115" i="1"/>
  <c r="V3" i="1"/>
  <c r="W115" i="1"/>
  <c r="X4" i="1"/>
  <c r="U113" i="1"/>
  <c r="V114" i="1"/>
  <c r="U66" i="1"/>
  <c r="U34" i="1"/>
  <c r="U10" i="1"/>
  <c r="V107" i="1"/>
  <c r="V99" i="1"/>
  <c r="V91" i="1"/>
  <c r="V83" i="1"/>
  <c r="V75" i="1"/>
  <c r="V67" i="1"/>
  <c r="V59" i="1"/>
  <c r="V51" i="1"/>
  <c r="V43" i="1"/>
  <c r="V35" i="1"/>
  <c r="V27" i="1"/>
  <c r="V19" i="1"/>
  <c r="V11" i="1"/>
  <c r="W111" i="1"/>
  <c r="W103" i="1"/>
  <c r="W95" i="1"/>
  <c r="W87" i="1"/>
  <c r="W79" i="1"/>
  <c r="W71" i="1"/>
  <c r="W63" i="1"/>
  <c r="W55" i="1"/>
  <c r="W47" i="1"/>
  <c r="W39" i="1"/>
  <c r="W31" i="1"/>
  <c r="W23" i="1"/>
  <c r="W15" i="1"/>
  <c r="W7" i="1"/>
  <c r="X112" i="1"/>
  <c r="X104" i="1"/>
  <c r="X96" i="1"/>
  <c r="X88" i="1"/>
  <c r="X80" i="1"/>
  <c r="X72" i="1"/>
  <c r="X64" i="1"/>
  <c r="X56" i="1"/>
  <c r="X48" i="1"/>
  <c r="X40" i="1"/>
  <c r="X32" i="1"/>
  <c r="X24" i="1"/>
  <c r="X16" i="1"/>
  <c r="X8" i="1"/>
  <c r="U82" i="1"/>
  <c r="U50" i="1"/>
  <c r="U97" i="1"/>
  <c r="U49" i="1"/>
  <c r="V98" i="1"/>
  <c r="V90" i="1"/>
  <c r="V82" i="1"/>
  <c r="V74" i="1"/>
  <c r="V66" i="1"/>
  <c r="V58" i="1"/>
  <c r="V50" i="1"/>
  <c r="V42" i="1"/>
  <c r="V34" i="1"/>
  <c r="V26" i="1"/>
  <c r="V18" i="1"/>
  <c r="V10" i="1"/>
  <c r="W110" i="1"/>
  <c r="W102" i="1"/>
  <c r="W94" i="1"/>
  <c r="W86" i="1"/>
  <c r="W78" i="1"/>
  <c r="W70" i="1"/>
  <c r="W62" i="1"/>
  <c r="W54" i="1"/>
  <c r="W46" i="1"/>
  <c r="W38" i="1"/>
  <c r="W30" i="1"/>
  <c r="W22" i="1"/>
  <c r="W14" i="1"/>
  <c r="W6" i="1"/>
  <c r="X111" i="1"/>
  <c r="X103" i="1"/>
  <c r="X95" i="1"/>
  <c r="X87" i="1"/>
  <c r="X79" i="1"/>
  <c r="X71" i="1"/>
  <c r="X63" i="1"/>
  <c r="X55" i="1"/>
  <c r="X47" i="1"/>
  <c r="X39" i="1"/>
  <c r="X31" i="1"/>
  <c r="X23" i="1"/>
  <c r="X15" i="1"/>
  <c r="X7" i="1"/>
  <c r="U98" i="1"/>
  <c r="U26" i="1"/>
  <c r="U81" i="1"/>
  <c r="U57" i="1"/>
  <c r="U33" i="1"/>
  <c r="U9" i="1"/>
  <c r="V106" i="1"/>
  <c r="U112" i="1"/>
  <c r="U104" i="1"/>
  <c r="U96" i="1"/>
  <c r="U88" i="1"/>
  <c r="U80" i="1"/>
  <c r="U72" i="1"/>
  <c r="U64" i="1"/>
  <c r="U56" i="1"/>
  <c r="U48" i="1"/>
  <c r="U40" i="1"/>
  <c r="U32" i="1"/>
  <c r="U24" i="1"/>
  <c r="U16" i="1"/>
  <c r="U8" i="1"/>
  <c r="V97" i="1"/>
  <c r="V89" i="1"/>
  <c r="V73" i="1"/>
  <c r="V65" i="1"/>
  <c r="V57" i="1"/>
  <c r="V49" i="1"/>
  <c r="V41" i="1"/>
  <c r="V33" i="1"/>
  <c r="V25" i="1"/>
  <c r="V17" i="1"/>
  <c r="V9" i="1"/>
  <c r="W109" i="1"/>
  <c r="W101" i="1"/>
  <c r="W93" i="1"/>
  <c r="W85" i="1"/>
  <c r="W77" i="1"/>
  <c r="W69" i="1"/>
  <c r="W61" i="1"/>
  <c r="W53" i="1"/>
  <c r="W45" i="1"/>
  <c r="W37" i="1"/>
  <c r="W29" i="1"/>
  <c r="W21" i="1"/>
  <c r="W13" i="1"/>
  <c r="W5" i="1"/>
  <c r="X110" i="1"/>
  <c r="X102" i="1"/>
  <c r="X94" i="1"/>
  <c r="X86" i="1"/>
  <c r="X78" i="1"/>
  <c r="X70" i="1"/>
  <c r="X62" i="1"/>
  <c r="X54" i="1"/>
  <c r="X46" i="1"/>
  <c r="X38" i="1"/>
  <c r="X30" i="1"/>
  <c r="X22" i="1"/>
  <c r="X14" i="1"/>
  <c r="X6" i="1"/>
  <c r="U90" i="1"/>
  <c r="U18" i="1"/>
  <c r="U73" i="1"/>
  <c r="U41" i="1"/>
  <c r="U111" i="1"/>
  <c r="U87" i="1"/>
  <c r="U79" i="1"/>
  <c r="U71" i="1"/>
  <c r="U63" i="1"/>
  <c r="U55" i="1"/>
  <c r="U47" i="1"/>
  <c r="U39" i="1"/>
  <c r="U31" i="1"/>
  <c r="U23" i="1"/>
  <c r="U15" i="1"/>
  <c r="U7" i="1"/>
  <c r="V112" i="1"/>
  <c r="V104" i="1"/>
  <c r="V96" i="1"/>
  <c r="V88" i="1"/>
  <c r="V80" i="1"/>
  <c r="V72" i="1"/>
  <c r="V64" i="1"/>
  <c r="V56" i="1"/>
  <c r="V48" i="1"/>
  <c r="V40" i="1"/>
  <c r="V32" i="1"/>
  <c r="V24" i="1"/>
  <c r="V16" i="1"/>
  <c r="V8" i="1"/>
  <c r="W108" i="1"/>
  <c r="W100" i="1"/>
  <c r="W92" i="1"/>
  <c r="W84" i="1"/>
  <c r="W76" i="1"/>
  <c r="W68" i="1"/>
  <c r="W60" i="1"/>
  <c r="W52" i="1"/>
  <c r="W44" i="1"/>
  <c r="W36" i="1"/>
  <c r="W28" i="1"/>
  <c r="W20" i="1"/>
  <c r="W12" i="1"/>
  <c r="X109" i="1"/>
  <c r="X101" i="1"/>
  <c r="X93" i="1"/>
  <c r="X85" i="1"/>
  <c r="X77" i="1"/>
  <c r="X69" i="1"/>
  <c r="X61" i="1"/>
  <c r="X53" i="1"/>
  <c r="X45" i="1"/>
  <c r="X37" i="1"/>
  <c r="X29" i="1"/>
  <c r="X21" i="1"/>
  <c r="X13" i="1"/>
  <c r="X5" i="1"/>
  <c r="U106" i="1"/>
  <c r="U42" i="1"/>
  <c r="U89" i="1"/>
  <c r="U25" i="1"/>
  <c r="U95" i="1"/>
  <c r="U110" i="1"/>
  <c r="U86" i="1"/>
  <c r="U62" i="1"/>
  <c r="U46" i="1"/>
  <c r="U38" i="1"/>
  <c r="U14" i="1"/>
  <c r="U6" i="1"/>
  <c r="V111" i="1"/>
  <c r="V103" i="1"/>
  <c r="V95" i="1"/>
  <c r="V87" i="1"/>
  <c r="V79" i="1"/>
  <c r="V71" i="1"/>
  <c r="V63" i="1"/>
  <c r="V55" i="1"/>
  <c r="V47" i="1"/>
  <c r="V39" i="1"/>
  <c r="V31" i="1"/>
  <c r="V23" i="1"/>
  <c r="V15" i="1"/>
  <c r="V7" i="1"/>
  <c r="W107" i="1"/>
  <c r="W99" i="1"/>
  <c r="W91" i="1"/>
  <c r="W83" i="1"/>
  <c r="W75" i="1"/>
  <c r="W67" i="1"/>
  <c r="W59" i="1"/>
  <c r="W51" i="1"/>
  <c r="W43" i="1"/>
  <c r="W35" i="1"/>
  <c r="W27" i="1"/>
  <c r="W19" i="1"/>
  <c r="W11" i="1"/>
  <c r="X108" i="1"/>
  <c r="X100" i="1"/>
  <c r="X92" i="1"/>
  <c r="X84" i="1"/>
  <c r="X76" i="1"/>
  <c r="X68" i="1"/>
  <c r="X60" i="1"/>
  <c r="X52" i="1"/>
  <c r="X44" i="1"/>
  <c r="X36" i="1"/>
  <c r="X28" i="1"/>
  <c r="X20" i="1"/>
  <c r="X12" i="1"/>
  <c r="U109" i="1"/>
  <c r="U101" i="1"/>
  <c r="U93" i="1"/>
  <c r="U85" i="1"/>
  <c r="U77" i="1"/>
  <c r="U69" i="1"/>
  <c r="U61" i="1"/>
  <c r="U53" i="1"/>
  <c r="U45" i="1"/>
  <c r="U37" i="1"/>
  <c r="U29" i="1"/>
  <c r="U21" i="1"/>
  <c r="U13" i="1"/>
  <c r="U5" i="1"/>
  <c r="V110" i="1"/>
  <c r="V102" i="1"/>
  <c r="V94" i="1"/>
  <c r="V86" i="1"/>
  <c r="V78" i="1"/>
  <c r="V70" i="1"/>
  <c r="V62" i="1"/>
  <c r="V54" i="1"/>
  <c r="V46" i="1"/>
  <c r="V38" i="1"/>
  <c r="V30" i="1"/>
  <c r="V22" i="1"/>
  <c r="V14" i="1"/>
  <c r="V6" i="1"/>
  <c r="W106" i="1"/>
  <c r="W98" i="1"/>
  <c r="W90" i="1"/>
  <c r="W82" i="1"/>
  <c r="W74" i="1"/>
  <c r="W66" i="1"/>
  <c r="W58" i="1"/>
  <c r="W50" i="1"/>
  <c r="W42" i="1"/>
  <c r="W34" i="1"/>
  <c r="W26" i="1"/>
  <c r="W18" i="1"/>
  <c r="W10" i="1"/>
  <c r="X107" i="1"/>
  <c r="X99" i="1"/>
  <c r="X91" i="1"/>
  <c r="X83" i="1"/>
  <c r="X75" i="1"/>
  <c r="X67" i="1"/>
  <c r="X59" i="1"/>
  <c r="X51" i="1"/>
  <c r="X43" i="1"/>
  <c r="X35" i="1"/>
  <c r="X27" i="1"/>
  <c r="X19" i="1"/>
  <c r="X11" i="1"/>
  <c r="U74" i="1"/>
  <c r="U58" i="1"/>
  <c r="U105" i="1"/>
  <c r="U65" i="1"/>
  <c r="U17" i="1"/>
  <c r="U103" i="1"/>
  <c r="U94" i="1"/>
  <c r="U70" i="1"/>
  <c r="U22" i="1"/>
  <c r="U108" i="1"/>
  <c r="U100" i="1"/>
  <c r="U92" i="1"/>
  <c r="U84" i="1"/>
  <c r="U76" i="1"/>
  <c r="U68" i="1"/>
  <c r="U60" i="1"/>
  <c r="U52" i="1"/>
  <c r="U44" i="1"/>
  <c r="U36" i="1"/>
  <c r="U28" i="1"/>
  <c r="U20" i="1"/>
  <c r="U12" i="1"/>
  <c r="V109" i="1"/>
  <c r="V101" i="1"/>
  <c r="V93" i="1"/>
  <c r="V85" i="1"/>
  <c r="V77" i="1"/>
  <c r="V69" i="1"/>
  <c r="V61" i="1"/>
  <c r="V53" i="1"/>
  <c r="V45" i="1"/>
  <c r="V37" i="1"/>
  <c r="V29" i="1"/>
  <c r="V21" i="1"/>
  <c r="V13" i="1"/>
  <c r="V5" i="1"/>
  <c r="W105" i="1"/>
  <c r="W97" i="1"/>
  <c r="W89" i="1"/>
  <c r="W81" i="1"/>
  <c r="W73" i="1"/>
  <c r="W65" i="1"/>
  <c r="W57" i="1"/>
  <c r="W49" i="1"/>
  <c r="W41" i="1"/>
  <c r="W33" i="1"/>
  <c r="W25" i="1"/>
  <c r="W17" i="1"/>
  <c r="W9" i="1"/>
  <c r="X106" i="1"/>
  <c r="X98" i="1"/>
  <c r="X90" i="1"/>
  <c r="X82" i="1"/>
  <c r="X74" i="1"/>
  <c r="X66" i="1"/>
  <c r="X58" i="1"/>
  <c r="X50" i="1"/>
  <c r="X42" i="1"/>
  <c r="X34" i="1"/>
  <c r="X26" i="1"/>
  <c r="X18" i="1"/>
  <c r="X10" i="1"/>
  <c r="U102" i="1"/>
  <c r="U78" i="1"/>
  <c r="U54" i="1"/>
  <c r="U30" i="1"/>
  <c r="U107" i="1"/>
  <c r="U99" i="1"/>
  <c r="U91" i="1"/>
  <c r="U83" i="1"/>
  <c r="U75" i="1"/>
  <c r="U67" i="1"/>
  <c r="U59" i="1"/>
  <c r="U51" i="1"/>
  <c r="U43" i="1"/>
  <c r="U35" i="1"/>
  <c r="U27" i="1"/>
  <c r="U19" i="1"/>
  <c r="U11" i="1"/>
  <c r="V108" i="1"/>
  <c r="V100" i="1"/>
  <c r="V92" i="1"/>
  <c r="V84" i="1"/>
  <c r="V76" i="1"/>
  <c r="V68" i="1"/>
  <c r="V60" i="1"/>
  <c r="V52" i="1"/>
  <c r="V44" i="1"/>
  <c r="V36" i="1"/>
  <c r="V28" i="1"/>
  <c r="V20" i="1"/>
  <c r="V12" i="1"/>
  <c r="W112" i="1"/>
  <c r="W104" i="1"/>
  <c r="W96" i="1"/>
  <c r="W88" i="1"/>
  <c r="W80" i="1"/>
  <c r="W72" i="1"/>
  <c r="W64" i="1"/>
  <c r="W56" i="1"/>
  <c r="W48" i="1"/>
  <c r="W40" i="1"/>
  <c r="W32" i="1"/>
  <c r="W24" i="1"/>
  <c r="W16" i="1"/>
  <c r="W8" i="1"/>
  <c r="X105" i="1"/>
  <c r="X97" i="1"/>
  <c r="X89" i="1"/>
  <c r="X81" i="1"/>
  <c r="X73" i="1"/>
  <c r="X65" i="1"/>
  <c r="X57" i="1"/>
  <c r="X49" i="1"/>
  <c r="X41" i="1"/>
  <c r="X33" i="1"/>
  <c r="X25" i="1"/>
  <c r="X17" i="1"/>
  <c r="X9" i="1"/>
  <c r="AC113" i="1"/>
  <c r="V113" i="1"/>
  <c r="AB81" i="1"/>
  <c r="V81" i="1"/>
  <c r="AB105" i="1"/>
  <c r="V105" i="1"/>
  <c r="AC97" i="1"/>
  <c r="AC89" i="1"/>
  <c r="AC73" i="1"/>
  <c r="AC49" i="1"/>
  <c r="AC115" i="1"/>
  <c r="Y113" i="1"/>
  <c r="Y105" i="1"/>
  <c r="Y97" i="1"/>
  <c r="Y89" i="1"/>
  <c r="AD81" i="1"/>
  <c r="Y73" i="1"/>
  <c r="AD17" i="1"/>
  <c r="AC114" i="1"/>
  <c r="AC106" i="1"/>
  <c r="AC98" i="1"/>
  <c r="AC90" i="1"/>
  <c r="AC82" i="1"/>
  <c r="AC74" i="1"/>
  <c r="AC66" i="1"/>
  <c r="AC58" i="1"/>
  <c r="AC50" i="1"/>
  <c r="AC42" i="1"/>
  <c r="AC34" i="1"/>
  <c r="AC26" i="1"/>
  <c r="AC18" i="1"/>
  <c r="AC10" i="1"/>
  <c r="AB65" i="1"/>
  <c r="Y65" i="1"/>
  <c r="Y57" i="1"/>
  <c r="Y49" i="1"/>
  <c r="Y41" i="1"/>
  <c r="Y33" i="1"/>
  <c r="Y25" i="1"/>
  <c r="Y9" i="1"/>
  <c r="AB57" i="1"/>
  <c r="AC102" i="1"/>
  <c r="AC86" i="1"/>
  <c r="AC70" i="1"/>
  <c r="AC54" i="1"/>
  <c r="AC46" i="1"/>
  <c r="AC38" i="1"/>
  <c r="AC30" i="1"/>
  <c r="AC14" i="1"/>
  <c r="AC6" i="1"/>
  <c r="AC110" i="1"/>
  <c r="AC94" i="1"/>
  <c r="AC78" i="1"/>
  <c r="AC62" i="1"/>
  <c r="AC22" i="1"/>
  <c r="AB41" i="1"/>
  <c r="AC33" i="1"/>
  <c r="AC25" i="1"/>
  <c r="AB17" i="1"/>
  <c r="AC9" i="1"/>
  <c r="AB104" i="1"/>
  <c r="AB88" i="1"/>
  <c r="AB80" i="1"/>
  <c r="AB64" i="1"/>
  <c r="AB56" i="1"/>
  <c r="AB40" i="1"/>
  <c r="AB24" i="1"/>
  <c r="AB16" i="1"/>
  <c r="Y115" i="1"/>
  <c r="AB92" i="1"/>
  <c r="AB28" i="1"/>
  <c r="Z115" i="1"/>
  <c r="AH115" i="1"/>
  <c r="AR115" i="1" s="1"/>
  <c r="AB115" i="1"/>
  <c r="AG109" i="1"/>
  <c r="AG53" i="1"/>
  <c r="AG45" i="1"/>
  <c r="AA110" i="1"/>
  <c r="AA78" i="1"/>
  <c r="AA62" i="1"/>
  <c r="AA54" i="1"/>
  <c r="AA46" i="1"/>
  <c r="AA38" i="1"/>
  <c r="AA30" i="1"/>
  <c r="AA22" i="1"/>
  <c r="AA14" i="1"/>
  <c r="AA6" i="1"/>
  <c r="AA102" i="1"/>
  <c r="AA70" i="1"/>
  <c r="AA94" i="1"/>
  <c r="AA86" i="1"/>
  <c r="AD93" i="1"/>
  <c r="AD53" i="1"/>
  <c r="AD13" i="1"/>
  <c r="AH112" i="1"/>
  <c r="AR112" i="1" s="1"/>
  <c r="Y108" i="1"/>
  <c r="Y92" i="1"/>
  <c r="Z76" i="1"/>
  <c r="Y44" i="1"/>
  <c r="Y36" i="1"/>
  <c r="Y28" i="1"/>
  <c r="Z20" i="1"/>
  <c r="AC109" i="1"/>
  <c r="AC101" i="1"/>
  <c r="AC93" i="1"/>
  <c r="AC85" i="1"/>
  <c r="AC77" i="1"/>
  <c r="AC69" i="1"/>
  <c r="AC61" i="1"/>
  <c r="AC53" i="1"/>
  <c r="AC45" i="1"/>
  <c r="AC37" i="1"/>
  <c r="AC29" i="1"/>
  <c r="AC21" i="1"/>
  <c r="AC13" i="1"/>
  <c r="AC5" i="1"/>
  <c r="AC65" i="1"/>
  <c r="AG101" i="1"/>
  <c r="AG37" i="1"/>
  <c r="AH104" i="1"/>
  <c r="AR104" i="1" s="1"/>
  <c r="AH40" i="1"/>
  <c r="AR40" i="1" s="1"/>
  <c r="AD85" i="1"/>
  <c r="AD45" i="1"/>
  <c r="AD5" i="1"/>
  <c r="Y100" i="1"/>
  <c r="AB108" i="1"/>
  <c r="AB100" i="1"/>
  <c r="AB84" i="1"/>
  <c r="AB76" i="1"/>
  <c r="AB68" i="1"/>
  <c r="AB60" i="1"/>
  <c r="AB52" i="1"/>
  <c r="AB44" i="1"/>
  <c r="AB36" i="1"/>
  <c r="AB20" i="1"/>
  <c r="AB12" i="1"/>
  <c r="AB4" i="1"/>
  <c r="Z113" i="1"/>
  <c r="AG93" i="1"/>
  <c r="AG29" i="1"/>
  <c r="AH96" i="1"/>
  <c r="AR96" i="1" s="1"/>
  <c r="AH32" i="1"/>
  <c r="AR32" i="1" s="1"/>
  <c r="AD77" i="1"/>
  <c r="AD37" i="1"/>
  <c r="AH48" i="1"/>
  <c r="AR48" i="1" s="1"/>
  <c r="Y114" i="1"/>
  <c r="Y106" i="1"/>
  <c r="Y98" i="1"/>
  <c r="Y90" i="1"/>
  <c r="Y82" i="1"/>
  <c r="Y74" i="1"/>
  <c r="Y66" i="1"/>
  <c r="Y58" i="1"/>
  <c r="Y50" i="1"/>
  <c r="Y42" i="1"/>
  <c r="Y34" i="1"/>
  <c r="Y26" i="1"/>
  <c r="Y18" i="1"/>
  <c r="Y10" i="1"/>
  <c r="Z49" i="1"/>
  <c r="AG85" i="1"/>
  <c r="AG21" i="1"/>
  <c r="AH88" i="1"/>
  <c r="AR88" i="1" s="1"/>
  <c r="AH24" i="1"/>
  <c r="AR24" i="1" s="1"/>
  <c r="AD101" i="1"/>
  <c r="AD61" i="1"/>
  <c r="AD21" i="1"/>
  <c r="AG77" i="1"/>
  <c r="AG13" i="1"/>
  <c r="AH80" i="1"/>
  <c r="AR80" i="1" s="1"/>
  <c r="AH16" i="1"/>
  <c r="AR16" i="1" s="1"/>
  <c r="AD109" i="1"/>
  <c r="AD69" i="1"/>
  <c r="AD29" i="1"/>
  <c r="AG69" i="1"/>
  <c r="AG5" i="1"/>
  <c r="AH72" i="1"/>
  <c r="AR72" i="1" s="1"/>
  <c r="AH8" i="1"/>
  <c r="AR8" i="1" s="1"/>
  <c r="AH64" i="1"/>
  <c r="AR64" i="1" s="1"/>
  <c r="AH56" i="1"/>
  <c r="AR56" i="1" s="1"/>
  <c r="AC64" i="1"/>
  <c r="Z105" i="1"/>
  <c r="Z41" i="1"/>
  <c r="AG108" i="1"/>
  <c r="AG100" i="1"/>
  <c r="AG92" i="1"/>
  <c r="AG84" i="1"/>
  <c r="AG76" i="1"/>
  <c r="AG68" i="1"/>
  <c r="AG60" i="1"/>
  <c r="AG52" i="1"/>
  <c r="AG44" i="1"/>
  <c r="AG36" i="1"/>
  <c r="AG28" i="1"/>
  <c r="AG20" i="1"/>
  <c r="AG12" i="1"/>
  <c r="AG4" i="1"/>
  <c r="AH111" i="1"/>
  <c r="AR111" i="1" s="1"/>
  <c r="AH103" i="1"/>
  <c r="AR103" i="1" s="1"/>
  <c r="AH95" i="1"/>
  <c r="AR95" i="1" s="1"/>
  <c r="AH87" i="1"/>
  <c r="AR87" i="1" s="1"/>
  <c r="AH79" i="1"/>
  <c r="AR79" i="1" s="1"/>
  <c r="AH71" i="1"/>
  <c r="AR71" i="1" s="1"/>
  <c r="AH63" i="1"/>
  <c r="AR63" i="1" s="1"/>
  <c r="AH55" i="1"/>
  <c r="AR55" i="1" s="1"/>
  <c r="AH47" i="1"/>
  <c r="AR47" i="1" s="1"/>
  <c r="AH39" i="1"/>
  <c r="AR39" i="1" s="1"/>
  <c r="AH31" i="1"/>
  <c r="AR31" i="1" s="1"/>
  <c r="AH23" i="1"/>
  <c r="AR23" i="1" s="1"/>
  <c r="AH15" i="1"/>
  <c r="AR15" i="1" s="1"/>
  <c r="AH7" i="1"/>
  <c r="AR7" i="1" s="1"/>
  <c r="Y96" i="1"/>
  <c r="Y88" i="1"/>
  <c r="Y80" i="1"/>
  <c r="Y72" i="1"/>
  <c r="Y64" i="1"/>
  <c r="Y56" i="1"/>
  <c r="Y48" i="1"/>
  <c r="Y40" i="1"/>
  <c r="Y32" i="1"/>
  <c r="Y24" i="1"/>
  <c r="Y16" i="1"/>
  <c r="Y8" i="1"/>
  <c r="AC41" i="1"/>
  <c r="Z97" i="1"/>
  <c r="Z33" i="1"/>
  <c r="AG107" i="1"/>
  <c r="AG99" i="1"/>
  <c r="AG91" i="1"/>
  <c r="AG83" i="1"/>
  <c r="AG75" i="1"/>
  <c r="AG67" i="1"/>
  <c r="AG59" i="1"/>
  <c r="AG51" i="1"/>
  <c r="AG43" i="1"/>
  <c r="AG35" i="1"/>
  <c r="AG27" i="1"/>
  <c r="AG19" i="1"/>
  <c r="AG11" i="1"/>
  <c r="AG3" i="1"/>
  <c r="AH110" i="1"/>
  <c r="AR110" i="1" s="1"/>
  <c r="AH102" i="1"/>
  <c r="AR102" i="1" s="1"/>
  <c r="AH94" i="1"/>
  <c r="AR94" i="1" s="1"/>
  <c r="AH86" i="1"/>
  <c r="AR86" i="1" s="1"/>
  <c r="AH78" i="1"/>
  <c r="AR78" i="1" s="1"/>
  <c r="AH70" i="1"/>
  <c r="AR70" i="1" s="1"/>
  <c r="AH62" i="1"/>
  <c r="AR62" i="1" s="1"/>
  <c r="AH54" i="1"/>
  <c r="AR54" i="1" s="1"/>
  <c r="AH46" i="1"/>
  <c r="AR46" i="1" s="1"/>
  <c r="AH38" i="1"/>
  <c r="AR38" i="1" s="1"/>
  <c r="AH30" i="1"/>
  <c r="AR30" i="1" s="1"/>
  <c r="AH22" i="1"/>
  <c r="AR22" i="1" s="1"/>
  <c r="AH14" i="1"/>
  <c r="AR14" i="1" s="1"/>
  <c r="AH6" i="1"/>
  <c r="AR6" i="1" s="1"/>
  <c r="Y104" i="1"/>
  <c r="AA111" i="1"/>
  <c r="AA103" i="1"/>
  <c r="AA95" i="1"/>
  <c r="AA87" i="1"/>
  <c r="AA79" i="1"/>
  <c r="AA71" i="1"/>
  <c r="AA63" i="1"/>
  <c r="AA55" i="1"/>
  <c r="AA47" i="1"/>
  <c r="AA39" i="1"/>
  <c r="AA31" i="1"/>
  <c r="AA23" i="1"/>
  <c r="AA15" i="1"/>
  <c r="AA7" i="1"/>
  <c r="AC112" i="1"/>
  <c r="AC96" i="1"/>
  <c r="AC72" i="1"/>
  <c r="AC48" i="1"/>
  <c r="AC32" i="1"/>
  <c r="AC8" i="1"/>
  <c r="AC24" i="1"/>
  <c r="Z89" i="1"/>
  <c r="Z25" i="1"/>
  <c r="AG114" i="1"/>
  <c r="AG106" i="1"/>
  <c r="AG98" i="1"/>
  <c r="AG90" i="1"/>
  <c r="AG82" i="1"/>
  <c r="AG74" i="1"/>
  <c r="AG66" i="1"/>
  <c r="AG58" i="1"/>
  <c r="AG50" i="1"/>
  <c r="AG42" i="1"/>
  <c r="AG34" i="1"/>
  <c r="AG26" i="1"/>
  <c r="AG18" i="1"/>
  <c r="AG10" i="1"/>
  <c r="AH109" i="1"/>
  <c r="AR109" i="1" s="1"/>
  <c r="AH101" i="1"/>
  <c r="AR101" i="1" s="1"/>
  <c r="AH93" i="1"/>
  <c r="AR93" i="1" s="1"/>
  <c r="AH85" i="1"/>
  <c r="AR85" i="1" s="1"/>
  <c r="AH77" i="1"/>
  <c r="AR77" i="1" s="1"/>
  <c r="AH69" i="1"/>
  <c r="AR69" i="1" s="1"/>
  <c r="AH61" i="1"/>
  <c r="AR61" i="1" s="1"/>
  <c r="AH53" i="1"/>
  <c r="AR53" i="1" s="1"/>
  <c r="AH45" i="1"/>
  <c r="AR45" i="1" s="1"/>
  <c r="AH37" i="1"/>
  <c r="AR37" i="1" s="1"/>
  <c r="AH29" i="1"/>
  <c r="AR29" i="1" s="1"/>
  <c r="AH21" i="1"/>
  <c r="AR21" i="1" s="1"/>
  <c r="AH13" i="1"/>
  <c r="AR13" i="1" s="1"/>
  <c r="AH5" i="1"/>
  <c r="AR5" i="1" s="1"/>
  <c r="Y111" i="1"/>
  <c r="Y103" i="1"/>
  <c r="Y95" i="1"/>
  <c r="Y87" i="1"/>
  <c r="Y79" i="1"/>
  <c r="Y71" i="1"/>
  <c r="Y63" i="1"/>
  <c r="Y55" i="1"/>
  <c r="Y47" i="1"/>
  <c r="Y39" i="1"/>
  <c r="Y31" i="1"/>
  <c r="Y23" i="1"/>
  <c r="Y15" i="1"/>
  <c r="Y7" i="1"/>
  <c r="AB107" i="1"/>
  <c r="AB99" i="1"/>
  <c r="AB91" i="1"/>
  <c r="AB83" i="1"/>
  <c r="AB75" i="1"/>
  <c r="AB67" i="1"/>
  <c r="AB59" i="1"/>
  <c r="AB51" i="1"/>
  <c r="AB43" i="1"/>
  <c r="AB35" i="1"/>
  <c r="AB27" i="1"/>
  <c r="AB19" i="1"/>
  <c r="AB11" i="1"/>
  <c r="AB3" i="1"/>
  <c r="Z81" i="1"/>
  <c r="Z17" i="1"/>
  <c r="AG113" i="1"/>
  <c r="AG105" i="1"/>
  <c r="AG97" i="1"/>
  <c r="AG89" i="1"/>
  <c r="AG81" i="1"/>
  <c r="AG73" i="1"/>
  <c r="AG65" i="1"/>
  <c r="AG57" i="1"/>
  <c r="AG49" i="1"/>
  <c r="AG41" i="1"/>
  <c r="AG33" i="1"/>
  <c r="AG25" i="1"/>
  <c r="AG17" i="1"/>
  <c r="AG9" i="1"/>
  <c r="AH108" i="1"/>
  <c r="AR108" i="1" s="1"/>
  <c r="AH100" i="1"/>
  <c r="AR100" i="1" s="1"/>
  <c r="AH92" i="1"/>
  <c r="AR92" i="1" s="1"/>
  <c r="AH84" i="1"/>
  <c r="AR84" i="1" s="1"/>
  <c r="AH76" i="1"/>
  <c r="AR76" i="1" s="1"/>
  <c r="AH68" i="1"/>
  <c r="AR68" i="1" s="1"/>
  <c r="AH60" i="1"/>
  <c r="AR60" i="1" s="1"/>
  <c r="AH52" i="1"/>
  <c r="AR52" i="1" s="1"/>
  <c r="AH44" i="1"/>
  <c r="AR44" i="1" s="1"/>
  <c r="AH36" i="1"/>
  <c r="AR36" i="1" s="1"/>
  <c r="AH28" i="1"/>
  <c r="AR28" i="1" s="1"/>
  <c r="AH20" i="1"/>
  <c r="AR20" i="1" s="1"/>
  <c r="AH12" i="1"/>
  <c r="AR12" i="1" s="1"/>
  <c r="AH4" i="1"/>
  <c r="AR4" i="1" s="1"/>
  <c r="Y112" i="1"/>
  <c r="Z114" i="1"/>
  <c r="Z106" i="1"/>
  <c r="Z98" i="1"/>
  <c r="Z90" i="1"/>
  <c r="Z82" i="1"/>
  <c r="Z74" i="1"/>
  <c r="Z66" i="1"/>
  <c r="Z58" i="1"/>
  <c r="Z50" i="1"/>
  <c r="Z42" i="1"/>
  <c r="Z34" i="1"/>
  <c r="Z26" i="1"/>
  <c r="Z18" i="1"/>
  <c r="Z10" i="1"/>
  <c r="Z73" i="1"/>
  <c r="Z9" i="1"/>
  <c r="AH107" i="1"/>
  <c r="AR107" i="1" s="1"/>
  <c r="AH99" i="1"/>
  <c r="AR99" i="1" s="1"/>
  <c r="AH91" i="1"/>
  <c r="AR91" i="1" s="1"/>
  <c r="AH83" i="1"/>
  <c r="AR83" i="1" s="1"/>
  <c r="AH75" i="1"/>
  <c r="AR75" i="1" s="1"/>
  <c r="AH67" i="1"/>
  <c r="AR67" i="1" s="1"/>
  <c r="AH59" i="1"/>
  <c r="AH51" i="1"/>
  <c r="AR51" i="1" s="1"/>
  <c r="AH43" i="1"/>
  <c r="AR43" i="1" s="1"/>
  <c r="AH35" i="1"/>
  <c r="AR35" i="1" s="1"/>
  <c r="AH27" i="1"/>
  <c r="AR27" i="1" s="1"/>
  <c r="AH19" i="1"/>
  <c r="AR19" i="1" s="1"/>
  <c r="AH11" i="1"/>
  <c r="AR11" i="1" s="1"/>
  <c r="AH3" i="1"/>
  <c r="AR3" i="1" s="1"/>
  <c r="AC105" i="1"/>
  <c r="Z65" i="1"/>
  <c r="AH74" i="1"/>
  <c r="AR74" i="1" s="1"/>
  <c r="AH10" i="1"/>
  <c r="AR10" i="1" s="1"/>
  <c r="Z107" i="1"/>
  <c r="Z99" i="1"/>
  <c r="Z91" i="1"/>
  <c r="Z83" i="1"/>
  <c r="Z75" i="1"/>
  <c r="Z67" i="1"/>
  <c r="Z59" i="1"/>
  <c r="Z51" i="1"/>
  <c r="Z43" i="1"/>
  <c r="Z35" i="1"/>
  <c r="Z27" i="1"/>
  <c r="Z19" i="1"/>
  <c r="Z11" i="1"/>
  <c r="Z3" i="1"/>
  <c r="AC88" i="1"/>
  <c r="Z57" i="1"/>
  <c r="AC23" i="1"/>
  <c r="Y94" i="1"/>
  <c r="Y46" i="1"/>
  <c r="AD68" i="1"/>
  <c r="AD52" i="1"/>
  <c r="AD4" i="1"/>
  <c r="AD105" i="1"/>
  <c r="AC104" i="1"/>
  <c r="AC81" i="1"/>
  <c r="AC63" i="1"/>
  <c r="AC40" i="1"/>
  <c r="AC17" i="1"/>
  <c r="AB114" i="1"/>
  <c r="AB106" i="1"/>
  <c r="AB98" i="1"/>
  <c r="AB90" i="1"/>
  <c r="AB82" i="1"/>
  <c r="AB74" i="1"/>
  <c r="AB66" i="1"/>
  <c r="AB58" i="1"/>
  <c r="AB50" i="1"/>
  <c r="AB42" i="1"/>
  <c r="AB34" i="1"/>
  <c r="AB26" i="1"/>
  <c r="AB18" i="1"/>
  <c r="AB10" i="1"/>
  <c r="Y109" i="1"/>
  <c r="Y101" i="1"/>
  <c r="Y93" i="1"/>
  <c r="Y85" i="1"/>
  <c r="Y77" i="1"/>
  <c r="Y69" i="1"/>
  <c r="Y61" i="1"/>
  <c r="Y53" i="1"/>
  <c r="Y45" i="1"/>
  <c r="Y37" i="1"/>
  <c r="Y29" i="1"/>
  <c r="Y21" i="1"/>
  <c r="Y13" i="1"/>
  <c r="Y5" i="1"/>
  <c r="Z112" i="1"/>
  <c r="Z104" i="1"/>
  <c r="Z96" i="1"/>
  <c r="Z88" i="1"/>
  <c r="Z80" i="1"/>
  <c r="Z72" i="1"/>
  <c r="Z64" i="1"/>
  <c r="Z56" i="1"/>
  <c r="Z48" i="1"/>
  <c r="Z40" i="1"/>
  <c r="Z32" i="1"/>
  <c r="Z24" i="1"/>
  <c r="Z16" i="1"/>
  <c r="Z8" i="1"/>
  <c r="Y78" i="1"/>
  <c r="Y22" i="1"/>
  <c r="AD84" i="1"/>
  <c r="AD60" i="1"/>
  <c r="AD12" i="1"/>
  <c r="AC108" i="1"/>
  <c r="AC100" i="1"/>
  <c r="AC92" i="1"/>
  <c r="AC84" i="1"/>
  <c r="AC76" i="1"/>
  <c r="AC68" i="1"/>
  <c r="AC60" i="1"/>
  <c r="AC52" i="1"/>
  <c r="AC44" i="1"/>
  <c r="AC36" i="1"/>
  <c r="AC28" i="1"/>
  <c r="AC20" i="1"/>
  <c r="AC12" i="1"/>
  <c r="AC4" i="1"/>
  <c r="AD89" i="1"/>
  <c r="AD25" i="1"/>
  <c r="AD97" i="1"/>
  <c r="AC103" i="1"/>
  <c r="AC80" i="1"/>
  <c r="AC57" i="1"/>
  <c r="AC39" i="1"/>
  <c r="AC16" i="1"/>
  <c r="AB113" i="1"/>
  <c r="AB97" i="1"/>
  <c r="AB89" i="1"/>
  <c r="AB73" i="1"/>
  <c r="AB49" i="1"/>
  <c r="AB33" i="1"/>
  <c r="AB25" i="1"/>
  <c r="AB9" i="1"/>
  <c r="Y84" i="1"/>
  <c r="Y76" i="1"/>
  <c r="Y68" i="1"/>
  <c r="Y60" i="1"/>
  <c r="Y52" i="1"/>
  <c r="Y20" i="1"/>
  <c r="Y12" i="1"/>
  <c r="Y4" i="1"/>
  <c r="Z111" i="1"/>
  <c r="Z103" i="1"/>
  <c r="Z95" i="1"/>
  <c r="Z87" i="1"/>
  <c r="Z79" i="1"/>
  <c r="Z71" i="1"/>
  <c r="Z63" i="1"/>
  <c r="Z55" i="1"/>
  <c r="Z47" i="1"/>
  <c r="Z39" i="1"/>
  <c r="Z31" i="1"/>
  <c r="Z23" i="1"/>
  <c r="Z15" i="1"/>
  <c r="Z7" i="1"/>
  <c r="Y110" i="1"/>
  <c r="Y62" i="1"/>
  <c r="Y14" i="1"/>
  <c r="AD108" i="1"/>
  <c r="AD44" i="1"/>
  <c r="AC107" i="1"/>
  <c r="AC99" i="1"/>
  <c r="AC91" i="1"/>
  <c r="AC83" i="1"/>
  <c r="AC75" i="1"/>
  <c r="AC67" i="1"/>
  <c r="AC59" i="1"/>
  <c r="AC51" i="1"/>
  <c r="AC43" i="1"/>
  <c r="AC35" i="1"/>
  <c r="AC27" i="1"/>
  <c r="AC19" i="1"/>
  <c r="AC11" i="1"/>
  <c r="AC3" i="1"/>
  <c r="AD41" i="1"/>
  <c r="AC79" i="1"/>
  <c r="AC56" i="1"/>
  <c r="AC15" i="1"/>
  <c r="AB112" i="1"/>
  <c r="AB96" i="1"/>
  <c r="AB72" i="1"/>
  <c r="AB48" i="1"/>
  <c r="AB32" i="1"/>
  <c r="AB8" i="1"/>
  <c r="Y107" i="1"/>
  <c r="Y99" i="1"/>
  <c r="Y91" i="1"/>
  <c r="Y83" i="1"/>
  <c r="Y75" i="1"/>
  <c r="Y67" i="1"/>
  <c r="Y59" i="1"/>
  <c r="Y51" i="1"/>
  <c r="Y43" i="1"/>
  <c r="Y35" i="1"/>
  <c r="Y27" i="1"/>
  <c r="Y19" i="1"/>
  <c r="Y11" i="1"/>
  <c r="Y3" i="1"/>
  <c r="Z110" i="1"/>
  <c r="Z102" i="1"/>
  <c r="Z94" i="1"/>
  <c r="Z86" i="1"/>
  <c r="Z78" i="1"/>
  <c r="Z70" i="1"/>
  <c r="Z62" i="1"/>
  <c r="Z54" i="1"/>
  <c r="Z46" i="1"/>
  <c r="Z38" i="1"/>
  <c r="Z30" i="1"/>
  <c r="Z22" i="1"/>
  <c r="Z14" i="1"/>
  <c r="Z6" i="1"/>
  <c r="AC87" i="1"/>
  <c r="Y70" i="1"/>
  <c r="Y30" i="1"/>
  <c r="Y6" i="1"/>
  <c r="AD92" i="1"/>
  <c r="AD36" i="1"/>
  <c r="AD33" i="1"/>
  <c r="AC55" i="1"/>
  <c r="AB111" i="1"/>
  <c r="AB103" i="1"/>
  <c r="AB95" i="1"/>
  <c r="AB87" i="1"/>
  <c r="AB79" i="1"/>
  <c r="AB71" i="1"/>
  <c r="AB63" i="1"/>
  <c r="AB55" i="1"/>
  <c r="AB47" i="1"/>
  <c r="AB39" i="1"/>
  <c r="AB31" i="1"/>
  <c r="AB23" i="1"/>
  <c r="AB15" i="1"/>
  <c r="AB7" i="1"/>
  <c r="Z109" i="1"/>
  <c r="Z101" i="1"/>
  <c r="Z93" i="1"/>
  <c r="Z85" i="1"/>
  <c r="Z77" i="1"/>
  <c r="Z69" i="1"/>
  <c r="Z61" i="1"/>
  <c r="Z53" i="1"/>
  <c r="Z45" i="1"/>
  <c r="Z37" i="1"/>
  <c r="Z29" i="1"/>
  <c r="Z21" i="1"/>
  <c r="Z13" i="1"/>
  <c r="Z5" i="1"/>
  <c r="Y86" i="1"/>
  <c r="Y38" i="1"/>
  <c r="AD100" i="1"/>
  <c r="AD28" i="1"/>
  <c r="AC95" i="1"/>
  <c r="AC31" i="1"/>
  <c r="AB110" i="1"/>
  <c r="AB102" i="1"/>
  <c r="AB94" i="1"/>
  <c r="AB86" i="1"/>
  <c r="AB78" i="1"/>
  <c r="AB70" i="1"/>
  <c r="AB62" i="1"/>
  <c r="AB54" i="1"/>
  <c r="AB46" i="1"/>
  <c r="AB38" i="1"/>
  <c r="AB30" i="1"/>
  <c r="AB22" i="1"/>
  <c r="AB14" i="1"/>
  <c r="AB6" i="1"/>
  <c r="Y81" i="1"/>
  <c r="Y17" i="1"/>
  <c r="Z108" i="1"/>
  <c r="Z100" i="1"/>
  <c r="Z92" i="1"/>
  <c r="Z84" i="1"/>
  <c r="Z68" i="1"/>
  <c r="Z60" i="1"/>
  <c r="Z52" i="1"/>
  <c r="Z44" i="1"/>
  <c r="Z36" i="1"/>
  <c r="Z28" i="1"/>
  <c r="Z12" i="1"/>
  <c r="Z4" i="1"/>
  <c r="Y102" i="1"/>
  <c r="Y54" i="1"/>
  <c r="AD76" i="1"/>
  <c r="AD20" i="1"/>
  <c r="AC71" i="1"/>
  <c r="AC7" i="1"/>
  <c r="AB109" i="1"/>
  <c r="AB101" i="1"/>
  <c r="AB93" i="1"/>
  <c r="AB85" i="1"/>
  <c r="AB77" i="1"/>
  <c r="AB69" i="1"/>
  <c r="AB61" i="1"/>
  <c r="AB53" i="1"/>
  <c r="AB45" i="1"/>
  <c r="AB37" i="1"/>
  <c r="AB29" i="1"/>
  <c r="AB21" i="1"/>
  <c r="AB13" i="1"/>
  <c r="AB5" i="1"/>
  <c r="AC111" i="1"/>
  <c r="AC47" i="1"/>
  <c r="AD115" i="1"/>
  <c r="AD83" i="1"/>
  <c r="AD43" i="1"/>
  <c r="AD3" i="1"/>
  <c r="AA101" i="1"/>
  <c r="AD114" i="1"/>
  <c r="AD106" i="1"/>
  <c r="AD98" i="1"/>
  <c r="AD90" i="1"/>
  <c r="AD82" i="1"/>
  <c r="AD74" i="1"/>
  <c r="AD66" i="1"/>
  <c r="AD58" i="1"/>
  <c r="AD50" i="1"/>
  <c r="AD42" i="1"/>
  <c r="AD34" i="1"/>
  <c r="AD26" i="1"/>
  <c r="AD18" i="1"/>
  <c r="AD10" i="1"/>
  <c r="AA93" i="1"/>
  <c r="AA29" i="1"/>
  <c r="AA53" i="1"/>
  <c r="AA109" i="1"/>
  <c r="AD91" i="1"/>
  <c r="AD51" i="1"/>
  <c r="AD11" i="1"/>
  <c r="AA113" i="1"/>
  <c r="AA105" i="1"/>
  <c r="AA97" i="1"/>
  <c r="AA89" i="1"/>
  <c r="AA81" i="1"/>
  <c r="AA73" i="1"/>
  <c r="AA65" i="1"/>
  <c r="AA57" i="1"/>
  <c r="AA49" i="1"/>
  <c r="AA41" i="1"/>
  <c r="AA33" i="1"/>
  <c r="AA25" i="1"/>
  <c r="AA17" i="1"/>
  <c r="AA9" i="1"/>
  <c r="AA85" i="1"/>
  <c r="AA21" i="1"/>
  <c r="AD73" i="1"/>
  <c r="AD9" i="1"/>
  <c r="AD67" i="1"/>
  <c r="AD19" i="1"/>
  <c r="AA112" i="1"/>
  <c r="AA104" i="1"/>
  <c r="AA96" i="1"/>
  <c r="AA88" i="1"/>
  <c r="AA80" i="1"/>
  <c r="AA72" i="1"/>
  <c r="AA64" i="1"/>
  <c r="AA56" i="1"/>
  <c r="AA48" i="1"/>
  <c r="AA40" i="1"/>
  <c r="AA32" i="1"/>
  <c r="AA24" i="1"/>
  <c r="AA16" i="1"/>
  <c r="AA8" i="1"/>
  <c r="AA77" i="1"/>
  <c r="AA13" i="1"/>
  <c r="AD65" i="1"/>
  <c r="AA45" i="1"/>
  <c r="AD99" i="1"/>
  <c r="AD59" i="1"/>
  <c r="AD27" i="1"/>
  <c r="AA37" i="1"/>
  <c r="AA69" i="1"/>
  <c r="AA5" i="1"/>
  <c r="AD57" i="1"/>
  <c r="AD107" i="1"/>
  <c r="AD75" i="1"/>
  <c r="AD35" i="1"/>
  <c r="AA61" i="1"/>
  <c r="AD113" i="1"/>
  <c r="AD49" i="1"/>
  <c r="AA108" i="1"/>
  <c r="AA100" i="1"/>
  <c r="AA92" i="1"/>
  <c r="AA84" i="1"/>
  <c r="AA76" i="1"/>
  <c r="AA68" i="1"/>
  <c r="AA60" i="1"/>
  <c r="AA52" i="1"/>
  <c r="AA44" i="1"/>
  <c r="AA36" i="1"/>
  <c r="AA28" i="1"/>
  <c r="AA20" i="1"/>
  <c r="AA12" i="1"/>
  <c r="AA4" i="1"/>
  <c r="AD112" i="1"/>
  <c r="AD104" i="1"/>
  <c r="AD96" i="1"/>
  <c r="AD88" i="1"/>
  <c r="AD80" i="1"/>
  <c r="AD72" i="1"/>
  <c r="AD64" i="1"/>
  <c r="AD56" i="1"/>
  <c r="AD48" i="1"/>
  <c r="AD40" i="1"/>
  <c r="AD32" i="1"/>
  <c r="AD24" i="1"/>
  <c r="AD16" i="1"/>
  <c r="AD8" i="1"/>
  <c r="AA115" i="1"/>
  <c r="AA107" i="1"/>
  <c r="AA99" i="1"/>
  <c r="AA91" i="1"/>
  <c r="AA83" i="1"/>
  <c r="AA75" i="1"/>
  <c r="AA67" i="1"/>
  <c r="AA59" i="1"/>
  <c r="AA51" i="1"/>
  <c r="AA43" i="1"/>
  <c r="AA35" i="1"/>
  <c r="AA27" i="1"/>
  <c r="AA19" i="1"/>
  <c r="AA11" i="1"/>
  <c r="AA3" i="1"/>
  <c r="AD111" i="1"/>
  <c r="AD103" i="1"/>
  <c r="AD95" i="1"/>
  <c r="AD87" i="1"/>
  <c r="AD79" i="1"/>
  <c r="AD71" i="1"/>
  <c r="AD63" i="1"/>
  <c r="AD55" i="1"/>
  <c r="AD47" i="1"/>
  <c r="AD39" i="1"/>
  <c r="AD31" i="1"/>
  <c r="AD23" i="1"/>
  <c r="AD15" i="1"/>
  <c r="AD7" i="1"/>
  <c r="AA114" i="1"/>
  <c r="AA106" i="1"/>
  <c r="AA98" i="1"/>
  <c r="AA90" i="1"/>
  <c r="AA82" i="1"/>
  <c r="AA74" i="1"/>
  <c r="AA66" i="1"/>
  <c r="AA58" i="1"/>
  <c r="AA50" i="1"/>
  <c r="AA42" i="1"/>
  <c r="AA34" i="1"/>
  <c r="AA26" i="1"/>
  <c r="AA18" i="1"/>
  <c r="AA10" i="1"/>
  <c r="AD110" i="1"/>
  <c r="AD102" i="1"/>
  <c r="AD94" i="1"/>
  <c r="AD86" i="1"/>
  <c r="AD78" i="1"/>
  <c r="AD70" i="1"/>
  <c r="AD62" i="1"/>
  <c r="AD54" i="1"/>
  <c r="AD46" i="1"/>
  <c r="AD38" i="1"/>
  <c r="AD30" i="1"/>
  <c r="AD22" i="1"/>
  <c r="AD14" i="1"/>
  <c r="AD6" i="1"/>
  <c r="AJ41" i="1" l="1"/>
  <c r="AP41" i="1"/>
  <c r="AJ105" i="1"/>
  <c r="AP105" i="1"/>
  <c r="A177" i="1"/>
  <c r="A182" i="1"/>
  <c r="A178" i="1"/>
  <c r="AR59" i="1"/>
  <c r="A183" i="1"/>
  <c r="AJ42" i="1"/>
  <c r="AP81" i="1"/>
  <c r="AP42" i="1"/>
  <c r="AO41" i="1"/>
  <c r="AO105" i="1"/>
  <c r="AO26" i="1"/>
  <c r="AO90" i="1"/>
  <c r="AO51" i="1"/>
  <c r="AO28" i="1"/>
  <c r="AO92" i="1"/>
  <c r="AO93" i="1"/>
  <c r="AO49" i="1"/>
  <c r="AO113" i="1"/>
  <c r="AO34" i="1"/>
  <c r="AO98" i="1"/>
  <c r="AO59" i="1"/>
  <c r="AO36" i="1"/>
  <c r="AO100" i="1"/>
  <c r="AO21" i="1"/>
  <c r="AO109" i="1"/>
  <c r="AO14" i="1"/>
  <c r="AO46" i="1"/>
  <c r="AO78" i="1"/>
  <c r="AO110" i="1"/>
  <c r="AO31" i="1"/>
  <c r="AO63" i="1"/>
  <c r="AO95" i="1"/>
  <c r="AO16" i="1"/>
  <c r="AO48" i="1"/>
  <c r="AO80" i="1"/>
  <c r="AO112" i="1"/>
  <c r="AO57" i="1"/>
  <c r="AO42" i="1"/>
  <c r="AO106" i="1"/>
  <c r="AO3" i="1"/>
  <c r="AO67" i="1"/>
  <c r="AO44" i="1"/>
  <c r="AO108" i="1"/>
  <c r="AO13" i="1"/>
  <c r="AO85" i="1"/>
  <c r="AO65" i="1"/>
  <c r="AO50" i="1"/>
  <c r="AO114" i="1"/>
  <c r="AO11" i="1"/>
  <c r="AO75" i="1"/>
  <c r="AO52" i="1"/>
  <c r="AO5" i="1"/>
  <c r="AO77" i="1"/>
  <c r="AO22" i="1"/>
  <c r="AO54" i="1"/>
  <c r="AO86" i="1"/>
  <c r="AO7" i="1"/>
  <c r="AO39" i="1"/>
  <c r="AO71" i="1"/>
  <c r="AO103" i="1"/>
  <c r="AO24" i="1"/>
  <c r="AO56" i="1"/>
  <c r="AO88" i="1"/>
  <c r="AO9" i="1"/>
  <c r="AO73" i="1"/>
  <c r="AO58" i="1"/>
  <c r="AO19" i="1"/>
  <c r="AO83" i="1"/>
  <c r="AO60" i="1"/>
  <c r="AO69" i="1"/>
  <c r="AO37" i="1"/>
  <c r="AO17" i="1"/>
  <c r="AO81" i="1"/>
  <c r="AO66" i="1"/>
  <c r="AO27" i="1"/>
  <c r="AO91" i="1"/>
  <c r="AO4" i="1"/>
  <c r="AO68" i="1"/>
  <c r="AO101" i="1"/>
  <c r="AO30" i="1"/>
  <c r="AO62" i="1"/>
  <c r="AO94" i="1"/>
  <c r="AO15" i="1"/>
  <c r="AO47" i="1"/>
  <c r="AO79" i="1"/>
  <c r="AO111" i="1"/>
  <c r="AO32" i="1"/>
  <c r="AO64" i="1"/>
  <c r="AO96" i="1"/>
  <c r="AO25" i="1"/>
  <c r="AO89" i="1"/>
  <c r="AO10" i="1"/>
  <c r="AO74" i="1"/>
  <c r="AO35" i="1"/>
  <c r="AO99" i="1"/>
  <c r="AO12" i="1"/>
  <c r="AO76" i="1"/>
  <c r="AO45" i="1"/>
  <c r="AO33" i="1"/>
  <c r="AO97" i="1"/>
  <c r="AO18" i="1"/>
  <c r="AO82" i="1"/>
  <c r="AO43" i="1"/>
  <c r="AO107" i="1"/>
  <c r="AO20" i="1"/>
  <c r="AO84" i="1"/>
  <c r="AO29" i="1"/>
  <c r="AO53" i="1"/>
  <c r="AO115" i="1"/>
  <c r="AO61" i="1"/>
  <c r="AO6" i="1"/>
  <c r="AO38" i="1"/>
  <c r="AO70" i="1"/>
  <c r="AO102" i="1"/>
  <c r="AO23" i="1"/>
  <c r="AO55" i="1"/>
  <c r="AO87" i="1"/>
  <c r="AO8" i="1"/>
  <c r="AO40" i="1"/>
  <c r="AO72" i="1"/>
  <c r="AO104" i="1"/>
  <c r="AI63" i="1"/>
  <c r="AQ33" i="1"/>
  <c r="AQ17" i="1"/>
  <c r="AQ81" i="1"/>
  <c r="AQ66" i="1"/>
  <c r="AQ27" i="1"/>
  <c r="AQ91" i="1"/>
  <c r="AQ4" i="1"/>
  <c r="AQ68" i="1"/>
  <c r="AQ101" i="1"/>
  <c r="AJ58" i="1"/>
  <c r="AQ25" i="1"/>
  <c r="AQ89" i="1"/>
  <c r="AQ10" i="1"/>
  <c r="AQ74" i="1"/>
  <c r="AQ35" i="1"/>
  <c r="AQ99" i="1"/>
  <c r="AQ12" i="1"/>
  <c r="AQ76" i="1"/>
  <c r="AQ45" i="1"/>
  <c r="AP58" i="1"/>
  <c r="AQ14" i="1"/>
  <c r="AQ46" i="1"/>
  <c r="AQ78" i="1"/>
  <c r="AQ110" i="1"/>
  <c r="AQ31" i="1"/>
  <c r="AQ63" i="1"/>
  <c r="AQ95" i="1"/>
  <c r="AQ16" i="1"/>
  <c r="AQ48" i="1"/>
  <c r="AQ80" i="1"/>
  <c r="AQ112" i="1"/>
  <c r="AQ18" i="1"/>
  <c r="AQ84" i="1"/>
  <c r="AQ53" i="1"/>
  <c r="AQ41" i="1"/>
  <c r="AQ105" i="1"/>
  <c r="AQ26" i="1"/>
  <c r="AQ90" i="1"/>
  <c r="AQ51" i="1"/>
  <c r="AQ28" i="1"/>
  <c r="AQ92" i="1"/>
  <c r="AQ93" i="1"/>
  <c r="AQ22" i="1"/>
  <c r="AQ54" i="1"/>
  <c r="AQ86" i="1"/>
  <c r="AQ7" i="1"/>
  <c r="AQ39" i="1"/>
  <c r="AQ71" i="1"/>
  <c r="AQ103" i="1"/>
  <c r="AQ24" i="1"/>
  <c r="AQ56" i="1"/>
  <c r="AQ88" i="1"/>
  <c r="AQ49" i="1"/>
  <c r="AQ113" i="1"/>
  <c r="AQ34" i="1"/>
  <c r="AQ98" i="1"/>
  <c r="AQ59" i="1"/>
  <c r="AQ36" i="1"/>
  <c r="AQ100" i="1"/>
  <c r="AQ21" i="1"/>
  <c r="AQ109" i="1"/>
  <c r="AJ26" i="1"/>
  <c r="AQ43" i="1"/>
  <c r="AQ29" i="1"/>
  <c r="AQ57" i="1"/>
  <c r="AQ42" i="1"/>
  <c r="AQ106" i="1"/>
  <c r="AQ3" i="1"/>
  <c r="AQ67" i="1"/>
  <c r="AQ44" i="1"/>
  <c r="AQ108" i="1"/>
  <c r="AQ13" i="1"/>
  <c r="AQ85" i="1"/>
  <c r="AP26" i="1"/>
  <c r="AQ30" i="1"/>
  <c r="AQ62" i="1"/>
  <c r="AQ94" i="1"/>
  <c r="AQ15" i="1"/>
  <c r="AQ47" i="1"/>
  <c r="AQ79" i="1"/>
  <c r="AQ111" i="1"/>
  <c r="AQ32" i="1"/>
  <c r="AQ64" i="1"/>
  <c r="AQ96" i="1"/>
  <c r="AQ82" i="1"/>
  <c r="AQ20" i="1"/>
  <c r="AQ65" i="1"/>
  <c r="AQ50" i="1"/>
  <c r="AQ114" i="1"/>
  <c r="AQ11" i="1"/>
  <c r="AQ75" i="1"/>
  <c r="AQ52" i="1"/>
  <c r="AQ5" i="1"/>
  <c r="AQ77" i="1"/>
  <c r="AQ97" i="1"/>
  <c r="AQ107" i="1"/>
  <c r="AQ9" i="1"/>
  <c r="AQ73" i="1"/>
  <c r="AQ58" i="1"/>
  <c r="AQ19" i="1"/>
  <c r="AQ83" i="1"/>
  <c r="AQ60" i="1"/>
  <c r="AQ69" i="1"/>
  <c r="AQ37" i="1"/>
  <c r="AQ115" i="1"/>
  <c r="AQ61" i="1"/>
  <c r="AQ6" i="1"/>
  <c r="AQ38" i="1"/>
  <c r="AQ70" i="1"/>
  <c r="AQ102" i="1"/>
  <c r="AQ23" i="1"/>
  <c r="AQ55" i="1"/>
  <c r="AQ87" i="1"/>
  <c r="AQ8" i="1"/>
  <c r="AQ40" i="1"/>
  <c r="AQ72" i="1"/>
  <c r="AQ104" i="1"/>
  <c r="AP25" i="1"/>
  <c r="AI70" i="1"/>
  <c r="AJ66" i="1"/>
  <c r="AP114" i="1"/>
  <c r="AJ18" i="1"/>
  <c r="AP18" i="1"/>
  <c r="AI104" i="1"/>
  <c r="AI80" i="1"/>
  <c r="AI6" i="1"/>
  <c r="AJ65" i="1"/>
  <c r="AJ82" i="1"/>
  <c r="AI16" i="1"/>
  <c r="AI14" i="1"/>
  <c r="AP65" i="1"/>
  <c r="AP82" i="1"/>
  <c r="AI78" i="1"/>
  <c r="AI23" i="1"/>
  <c r="AI87" i="1"/>
  <c r="AI48" i="1"/>
  <c r="AJ90" i="1"/>
  <c r="AI115" i="1"/>
  <c r="AJ89" i="1"/>
  <c r="AP90" i="1"/>
  <c r="AI61" i="1"/>
  <c r="AI46" i="1"/>
  <c r="AI110" i="1"/>
  <c r="AI31" i="1"/>
  <c r="AI95" i="1"/>
  <c r="AJ25" i="1"/>
  <c r="AP89" i="1"/>
  <c r="AJ114" i="1"/>
  <c r="AI40" i="1"/>
  <c r="AJ81" i="1"/>
  <c r="AP106" i="1"/>
  <c r="AP66" i="1"/>
  <c r="AI64" i="1"/>
  <c r="AI94" i="1"/>
  <c r="AI111" i="1"/>
  <c r="AJ49" i="1"/>
  <c r="AJ34" i="1"/>
  <c r="AP49" i="1"/>
  <c r="AJ17" i="1"/>
  <c r="AJ113" i="1"/>
  <c r="AP17" i="1"/>
  <c r="AP113" i="1"/>
  <c r="AJ106" i="1"/>
  <c r="AI47" i="1"/>
  <c r="AJ57" i="1"/>
  <c r="AI56" i="1"/>
  <c r="AP57" i="1"/>
  <c r="AP34" i="1"/>
  <c r="AI22" i="1"/>
  <c r="AI39" i="1"/>
  <c r="AI86" i="1"/>
  <c r="AI32" i="1"/>
  <c r="AJ98" i="1"/>
  <c r="AI96" i="1"/>
  <c r="AI79" i="1"/>
  <c r="AP98" i="1"/>
  <c r="AJ97" i="1"/>
  <c r="AI62" i="1"/>
  <c r="AI15" i="1"/>
  <c r="AP97" i="1"/>
  <c r="AJ33" i="1"/>
  <c r="AP33" i="1"/>
  <c r="AP50" i="1"/>
  <c r="AI38" i="1"/>
  <c r="AI102" i="1"/>
  <c r="AP73" i="1"/>
  <c r="AJ9" i="1"/>
  <c r="AI8" i="1"/>
  <c r="AI55" i="1"/>
  <c r="AJ50" i="1"/>
  <c r="AI72" i="1"/>
  <c r="AJ73" i="1"/>
  <c r="AP9" i="1"/>
  <c r="AP99" i="1"/>
  <c r="AJ99" i="1"/>
  <c r="AI65" i="1"/>
  <c r="AI50" i="1"/>
  <c r="AP74" i="1"/>
  <c r="AJ74" i="1"/>
  <c r="AP43" i="1"/>
  <c r="AJ43" i="1"/>
  <c r="AP107" i="1"/>
  <c r="AJ107" i="1"/>
  <c r="AP52" i="1"/>
  <c r="AJ52" i="1"/>
  <c r="AI9" i="1"/>
  <c r="AI73" i="1"/>
  <c r="AP37" i="1"/>
  <c r="AJ37" i="1"/>
  <c r="AP101" i="1"/>
  <c r="AJ101" i="1"/>
  <c r="AI58" i="1"/>
  <c r="AP6" i="1"/>
  <c r="AJ6" i="1"/>
  <c r="AP70" i="1"/>
  <c r="AJ70" i="1"/>
  <c r="AI19" i="1"/>
  <c r="AI83" i="1"/>
  <c r="AJ47" i="1"/>
  <c r="AP47" i="1"/>
  <c r="AJ111" i="1"/>
  <c r="AP111" i="1"/>
  <c r="AI60" i="1"/>
  <c r="AI69" i="1"/>
  <c r="AI37" i="1"/>
  <c r="AP112" i="1"/>
  <c r="AJ112" i="1"/>
  <c r="AP51" i="1"/>
  <c r="AJ51" i="1"/>
  <c r="AP60" i="1"/>
  <c r="AJ60" i="1"/>
  <c r="AI17" i="1"/>
  <c r="AI81" i="1"/>
  <c r="AP45" i="1"/>
  <c r="AJ45" i="1"/>
  <c r="AP109" i="1"/>
  <c r="AJ109" i="1"/>
  <c r="AI66" i="1"/>
  <c r="AP14" i="1"/>
  <c r="AJ14" i="1"/>
  <c r="AP78" i="1"/>
  <c r="AJ78" i="1"/>
  <c r="AI27" i="1"/>
  <c r="AI91" i="1"/>
  <c r="AJ55" i="1"/>
  <c r="AP55" i="1"/>
  <c r="AI4" i="1"/>
  <c r="AI68" i="1"/>
  <c r="AP32" i="1"/>
  <c r="AJ32" i="1"/>
  <c r="AI101" i="1"/>
  <c r="AP115" i="1"/>
  <c r="AJ115" i="1"/>
  <c r="AP44" i="1"/>
  <c r="AJ44" i="1"/>
  <c r="AP93" i="1"/>
  <c r="AJ93" i="1"/>
  <c r="AP62" i="1"/>
  <c r="AJ62" i="1"/>
  <c r="AI52" i="1"/>
  <c r="AP59" i="1"/>
  <c r="AJ59" i="1"/>
  <c r="AP4" i="1"/>
  <c r="AJ4" i="1"/>
  <c r="AP68" i="1"/>
  <c r="AJ68" i="1"/>
  <c r="AI25" i="1"/>
  <c r="AI89" i="1"/>
  <c r="AP53" i="1"/>
  <c r="AJ53" i="1"/>
  <c r="AI10" i="1"/>
  <c r="AI74" i="1"/>
  <c r="AP22" i="1"/>
  <c r="AJ22" i="1"/>
  <c r="AP86" i="1"/>
  <c r="AJ86" i="1"/>
  <c r="AI35" i="1"/>
  <c r="AI99" i="1"/>
  <c r="AJ63" i="1"/>
  <c r="AP63" i="1"/>
  <c r="AI12" i="1"/>
  <c r="AI76" i="1"/>
  <c r="AP96" i="1"/>
  <c r="AJ96" i="1"/>
  <c r="AI45" i="1"/>
  <c r="AI114" i="1"/>
  <c r="AI5" i="1"/>
  <c r="AP3" i="1"/>
  <c r="AJ3" i="1"/>
  <c r="AP67" i="1"/>
  <c r="AJ67" i="1"/>
  <c r="AP12" i="1"/>
  <c r="AJ12" i="1"/>
  <c r="AP76" i="1"/>
  <c r="AJ76" i="1"/>
  <c r="AI33" i="1"/>
  <c r="AI97" i="1"/>
  <c r="AP61" i="1"/>
  <c r="AJ61" i="1"/>
  <c r="AI18" i="1"/>
  <c r="AI82" i="1"/>
  <c r="AP30" i="1"/>
  <c r="AJ30" i="1"/>
  <c r="AP94" i="1"/>
  <c r="AJ94" i="1"/>
  <c r="AI43" i="1"/>
  <c r="AI107" i="1"/>
  <c r="AJ7" i="1"/>
  <c r="AP7" i="1"/>
  <c r="AJ71" i="1"/>
  <c r="AP71" i="1"/>
  <c r="AI20" i="1"/>
  <c r="AI84" i="1"/>
  <c r="AP56" i="1"/>
  <c r="AJ56" i="1"/>
  <c r="AP24" i="1"/>
  <c r="AJ24" i="1"/>
  <c r="AI29" i="1"/>
  <c r="AI53" i="1"/>
  <c r="AI75" i="1"/>
  <c r="AJ103" i="1"/>
  <c r="AP103" i="1"/>
  <c r="AI77" i="1"/>
  <c r="AP104" i="1"/>
  <c r="AJ104" i="1"/>
  <c r="AP11" i="1"/>
  <c r="AJ11" i="1"/>
  <c r="AP75" i="1"/>
  <c r="AJ75" i="1"/>
  <c r="AP20" i="1"/>
  <c r="AJ20" i="1"/>
  <c r="AP84" i="1"/>
  <c r="AJ84" i="1"/>
  <c r="AI41" i="1"/>
  <c r="AI105" i="1"/>
  <c r="AP5" i="1"/>
  <c r="AJ5" i="1"/>
  <c r="AP69" i="1"/>
  <c r="AJ69" i="1"/>
  <c r="AI26" i="1"/>
  <c r="AI90" i="1"/>
  <c r="AP38" i="1"/>
  <c r="AJ38" i="1"/>
  <c r="AP102" i="1"/>
  <c r="AJ102" i="1"/>
  <c r="AI51" i="1"/>
  <c r="AP15" i="1"/>
  <c r="AJ15" i="1"/>
  <c r="AP79" i="1"/>
  <c r="AJ79" i="1"/>
  <c r="AI28" i="1"/>
  <c r="AI92" i="1"/>
  <c r="AP64" i="1"/>
  <c r="AJ64" i="1"/>
  <c r="AP16" i="1"/>
  <c r="AJ16" i="1"/>
  <c r="AP88" i="1"/>
  <c r="AJ88" i="1"/>
  <c r="AI93" i="1"/>
  <c r="AP10" i="1"/>
  <c r="AJ10" i="1"/>
  <c r="AJ39" i="1"/>
  <c r="AP39" i="1"/>
  <c r="AP19" i="1"/>
  <c r="AJ19" i="1"/>
  <c r="AP83" i="1"/>
  <c r="AJ83" i="1"/>
  <c r="AP28" i="1"/>
  <c r="AJ28" i="1"/>
  <c r="AP92" i="1"/>
  <c r="AJ92" i="1"/>
  <c r="AI49" i="1"/>
  <c r="AI113" i="1"/>
  <c r="AP13" i="1"/>
  <c r="AJ13" i="1"/>
  <c r="AP77" i="1"/>
  <c r="AJ77" i="1"/>
  <c r="AI34" i="1"/>
  <c r="AI98" i="1"/>
  <c r="AP46" i="1"/>
  <c r="AJ46" i="1"/>
  <c r="AP110" i="1"/>
  <c r="AJ110" i="1"/>
  <c r="AI59" i="1"/>
  <c r="AJ23" i="1"/>
  <c r="AP23" i="1"/>
  <c r="AJ87" i="1"/>
  <c r="AP87" i="1"/>
  <c r="AI36" i="1"/>
  <c r="AI100" i="1"/>
  <c r="AP8" i="1"/>
  <c r="AJ8" i="1"/>
  <c r="AP80" i="1"/>
  <c r="AJ80" i="1"/>
  <c r="AI21" i="1"/>
  <c r="AI109" i="1"/>
  <c r="AP35" i="1"/>
  <c r="AJ35" i="1"/>
  <c r="AP108" i="1"/>
  <c r="AJ108" i="1"/>
  <c r="AP29" i="1"/>
  <c r="AJ29" i="1"/>
  <c r="AI11" i="1"/>
  <c r="AP27" i="1"/>
  <c r="AJ27" i="1"/>
  <c r="AP91" i="1"/>
  <c r="AJ91" i="1"/>
  <c r="AP36" i="1"/>
  <c r="AJ36" i="1"/>
  <c r="AP100" i="1"/>
  <c r="AJ100" i="1"/>
  <c r="AI57" i="1"/>
  <c r="AP21" i="1"/>
  <c r="AJ21" i="1"/>
  <c r="AP85" i="1"/>
  <c r="AJ85" i="1"/>
  <c r="AI42" i="1"/>
  <c r="AI106" i="1"/>
  <c r="AP54" i="1"/>
  <c r="AJ54" i="1"/>
  <c r="AI3" i="1"/>
  <c r="AI67" i="1"/>
  <c r="AJ31" i="1"/>
  <c r="AP31" i="1"/>
  <c r="AJ95" i="1"/>
  <c r="AP95" i="1"/>
  <c r="AI44" i="1"/>
  <c r="AI108" i="1"/>
  <c r="AP72" i="1"/>
  <c r="AJ72" i="1"/>
  <c r="AI13" i="1"/>
  <c r="AI85" i="1"/>
  <c r="AP48" i="1"/>
  <c r="AJ48" i="1"/>
  <c r="AP40" i="1"/>
  <c r="AJ40" i="1"/>
  <c r="A163" i="1"/>
  <c r="A160" i="1"/>
  <c r="A161" i="1"/>
  <c r="B116" i="1"/>
  <c r="A134" i="1" s="1"/>
  <c r="Q2" i="1"/>
  <c r="R2" i="1"/>
  <c r="R118" i="1" l="1"/>
  <c r="R127" i="1"/>
  <c r="R130" i="1"/>
  <c r="R124" i="1"/>
  <c r="R120" i="1"/>
  <c r="R119" i="1"/>
  <c r="R122" i="1"/>
  <c r="R128" i="1"/>
  <c r="R121" i="1"/>
  <c r="R126" i="1"/>
  <c r="R125" i="1"/>
  <c r="Q118" i="1"/>
  <c r="Q130" i="1"/>
  <c r="Q120" i="1"/>
  <c r="Q124" i="1"/>
  <c r="Q119" i="1"/>
  <c r="Q122" i="1"/>
  <c r="Q128" i="1"/>
  <c r="Q121" i="1"/>
  <c r="Q126" i="1"/>
  <c r="Q127" i="1"/>
  <c r="Q125" i="1"/>
  <c r="V2" i="1"/>
  <c r="U2" i="1"/>
  <c r="R116" i="1"/>
  <c r="A138" i="1" s="1"/>
  <c r="A166" i="1"/>
  <c r="A165" i="1"/>
  <c r="Q116" i="1"/>
  <c r="A137" i="1" s="1"/>
  <c r="C116" i="1"/>
  <c r="A135" i="1" s="1"/>
  <c r="T2" i="1"/>
  <c r="S2" i="1"/>
  <c r="AF2" i="1"/>
  <c r="T118" i="1" l="1"/>
  <c r="T121" i="1"/>
  <c r="T127" i="1"/>
  <c r="T125" i="1"/>
  <c r="T130" i="1"/>
  <c r="T120" i="1"/>
  <c r="T124" i="1"/>
  <c r="T119" i="1"/>
  <c r="T122" i="1"/>
  <c r="T128" i="1"/>
  <c r="T126" i="1"/>
  <c r="AF118" i="1"/>
  <c r="AF120" i="1"/>
  <c r="AF119" i="1"/>
  <c r="AF122" i="1"/>
  <c r="AF121" i="1"/>
  <c r="AF126" i="1"/>
  <c r="AF124" i="1"/>
  <c r="AF127" i="1"/>
  <c r="AF125" i="1"/>
  <c r="AF128" i="1"/>
  <c r="U118" i="1"/>
  <c r="U121" i="1"/>
  <c r="U126" i="1"/>
  <c r="U127" i="1"/>
  <c r="U125" i="1"/>
  <c r="U128" i="1"/>
  <c r="U120" i="1"/>
  <c r="U124" i="1"/>
  <c r="U119" i="1"/>
  <c r="U122" i="1"/>
  <c r="S118" i="1"/>
  <c r="S127" i="1"/>
  <c r="S125" i="1"/>
  <c r="S130" i="1"/>
  <c r="S120" i="1"/>
  <c r="S124" i="1"/>
  <c r="S119" i="1"/>
  <c r="S122" i="1"/>
  <c r="S128" i="1"/>
  <c r="S121" i="1"/>
  <c r="S126" i="1"/>
  <c r="V118" i="1"/>
  <c r="V122" i="1"/>
  <c r="V121" i="1"/>
  <c r="V126" i="1"/>
  <c r="V127" i="1"/>
  <c r="V125" i="1"/>
  <c r="V128" i="1"/>
  <c r="V120" i="1"/>
  <c r="V124" i="1"/>
  <c r="V119" i="1"/>
  <c r="V116" i="1"/>
  <c r="U116" i="1"/>
  <c r="Z2" i="1"/>
  <c r="X2" i="1"/>
  <c r="T116" i="1"/>
  <c r="A140" i="1" s="1"/>
  <c r="A171" i="1"/>
  <c r="AC2" i="1"/>
  <c r="AD2" i="1"/>
  <c r="AN2" i="1"/>
  <c r="AS2" i="1"/>
  <c r="AY2" i="1"/>
  <c r="AU2" i="1"/>
  <c r="AX2" i="1"/>
  <c r="AF116" i="1"/>
  <c r="AL2" i="1"/>
  <c r="AZ2" i="1"/>
  <c r="AT2" i="1"/>
  <c r="AV2" i="1"/>
  <c r="AW2" i="1"/>
  <c r="AM2" i="1"/>
  <c r="AK2" i="1"/>
  <c r="Y2" i="1"/>
  <c r="AG2" i="1"/>
  <c r="AB2" i="1"/>
  <c r="A170" i="1"/>
  <c r="W2" i="1"/>
  <c r="S116" i="1"/>
  <c r="A139" i="1" s="1"/>
  <c r="AA2" i="1"/>
  <c r="AH2" i="1"/>
  <c r="A149" i="1"/>
  <c r="V130" i="1" l="1"/>
  <c r="U130" i="1"/>
  <c r="AF130" i="1"/>
  <c r="AK118" i="1"/>
  <c r="AK121" i="1"/>
  <c r="AK126" i="1"/>
  <c r="AK127" i="1"/>
  <c r="AK125" i="1"/>
  <c r="AK130" i="1"/>
  <c r="AK120" i="1"/>
  <c r="AK124" i="1"/>
  <c r="AK128" i="1"/>
  <c r="AK119" i="1"/>
  <c r="AK122" i="1"/>
  <c r="AM118" i="1"/>
  <c r="AM119" i="1"/>
  <c r="AM122" i="1"/>
  <c r="AM128" i="1"/>
  <c r="AM121" i="1"/>
  <c r="AM126" i="1"/>
  <c r="AM124" i="1"/>
  <c r="AM127" i="1"/>
  <c r="AM125" i="1"/>
  <c r="AM130" i="1"/>
  <c r="AM120" i="1"/>
  <c r="X118" i="1"/>
  <c r="X120" i="1"/>
  <c r="X124" i="1"/>
  <c r="X119" i="1"/>
  <c r="X122" i="1"/>
  <c r="X121" i="1"/>
  <c r="X126" i="1"/>
  <c r="X128" i="1"/>
  <c r="X127" i="1"/>
  <c r="X125" i="1"/>
  <c r="W118" i="1"/>
  <c r="W119" i="1"/>
  <c r="W122" i="1"/>
  <c r="W128" i="1"/>
  <c r="W121" i="1"/>
  <c r="W126" i="1"/>
  <c r="W127" i="1"/>
  <c r="W125" i="1"/>
  <c r="W120" i="1"/>
  <c r="W124" i="1"/>
  <c r="AS118" i="1"/>
  <c r="AS121" i="1"/>
  <c r="AS126" i="1"/>
  <c r="AS127" i="1"/>
  <c r="AS125" i="1"/>
  <c r="AS128" i="1"/>
  <c r="AS120" i="1"/>
  <c r="AS124" i="1"/>
  <c r="AS119" i="1"/>
  <c r="AS122" i="1"/>
  <c r="AT118" i="1"/>
  <c r="AT122" i="1"/>
  <c r="AT121" i="1"/>
  <c r="AT126" i="1"/>
  <c r="AT127" i="1"/>
  <c r="AT125" i="1"/>
  <c r="AT120" i="1"/>
  <c r="AT124" i="1"/>
  <c r="AT119" i="1"/>
  <c r="AT128" i="1"/>
  <c r="AH118" i="1"/>
  <c r="AH127" i="1"/>
  <c r="AH130" i="1"/>
  <c r="AH124" i="1"/>
  <c r="AH120" i="1"/>
  <c r="AH119" i="1"/>
  <c r="AH122" i="1"/>
  <c r="AH128" i="1"/>
  <c r="AH125" i="1"/>
  <c r="AH121" i="1"/>
  <c r="AH126" i="1"/>
  <c r="AA118" i="1"/>
  <c r="AA127" i="1"/>
  <c r="AA125" i="1"/>
  <c r="AA130" i="1"/>
  <c r="AA120" i="1"/>
  <c r="AA124" i="1"/>
  <c r="AA119" i="1"/>
  <c r="AA126" i="1"/>
  <c r="AA122" i="1"/>
  <c r="AA128" i="1"/>
  <c r="AA121" i="1"/>
  <c r="AU118" i="1"/>
  <c r="AU119" i="1"/>
  <c r="AU122" i="1"/>
  <c r="AU128" i="1"/>
  <c r="AU121" i="1"/>
  <c r="AU126" i="1"/>
  <c r="AU127" i="1"/>
  <c r="AU125" i="1"/>
  <c r="AU124" i="1"/>
  <c r="AU120" i="1"/>
  <c r="AV118" i="1"/>
  <c r="AV120" i="1"/>
  <c r="AV119" i="1"/>
  <c r="AV122" i="1"/>
  <c r="AV124" i="1"/>
  <c r="AV121" i="1"/>
  <c r="AV126" i="1"/>
  <c r="AV128" i="1"/>
  <c r="AV127" i="1"/>
  <c r="AV125" i="1"/>
  <c r="AN118" i="1"/>
  <c r="AN120" i="1"/>
  <c r="AN119" i="1"/>
  <c r="AN122" i="1"/>
  <c r="AN128" i="1"/>
  <c r="AN121" i="1"/>
  <c r="AN126" i="1"/>
  <c r="AN127" i="1"/>
  <c r="AN125" i="1"/>
  <c r="AN124" i="1"/>
  <c r="AN130" i="1"/>
  <c r="AB118" i="1"/>
  <c r="AB121" i="1"/>
  <c r="AB127" i="1"/>
  <c r="AB125" i="1"/>
  <c r="AB130" i="1"/>
  <c r="AB120" i="1"/>
  <c r="AB124" i="1"/>
  <c r="AB119" i="1"/>
  <c r="AB126" i="1"/>
  <c r="AB122" i="1"/>
  <c r="AB128" i="1"/>
  <c r="AD118" i="1"/>
  <c r="AD122" i="1"/>
  <c r="AD121" i="1"/>
  <c r="AD126" i="1"/>
  <c r="AD127" i="1"/>
  <c r="AD125" i="1"/>
  <c r="AD130" i="1"/>
  <c r="AD120" i="1"/>
  <c r="AD124" i="1"/>
  <c r="AD128" i="1"/>
  <c r="AD119" i="1"/>
  <c r="AZ118" i="1"/>
  <c r="AZ121" i="1"/>
  <c r="AZ127" i="1"/>
  <c r="AZ125" i="1"/>
  <c r="AZ126" i="1"/>
  <c r="AZ120" i="1"/>
  <c r="AZ124" i="1"/>
  <c r="AZ119" i="1"/>
  <c r="AZ122" i="1"/>
  <c r="AZ128" i="1"/>
  <c r="AG118" i="1"/>
  <c r="AG130" i="1"/>
  <c r="AG120" i="1"/>
  <c r="AG124" i="1"/>
  <c r="AG119" i="1"/>
  <c r="AG122" i="1"/>
  <c r="AG128" i="1"/>
  <c r="AG121" i="1"/>
  <c r="AG126" i="1"/>
  <c r="AG127" i="1"/>
  <c r="AG125" i="1"/>
  <c r="AL118" i="1"/>
  <c r="AL122" i="1"/>
  <c r="AL121" i="1"/>
  <c r="AL126" i="1"/>
  <c r="AL127" i="1"/>
  <c r="AL125" i="1"/>
  <c r="AL128" i="1"/>
  <c r="AL130" i="1"/>
  <c r="AL120" i="1"/>
  <c r="AL124" i="1"/>
  <c r="AL119" i="1"/>
  <c r="AC118" i="1"/>
  <c r="AC121" i="1"/>
  <c r="AC126" i="1"/>
  <c r="AC127" i="1"/>
  <c r="AC125" i="1"/>
  <c r="AC130" i="1"/>
  <c r="AC120" i="1"/>
  <c r="AC124" i="1"/>
  <c r="AC119" i="1"/>
  <c r="AC122" i="1"/>
  <c r="AC128" i="1"/>
  <c r="Y118" i="1"/>
  <c r="Y130" i="1"/>
  <c r="Y120" i="1"/>
  <c r="Y124" i="1"/>
  <c r="Y119" i="1"/>
  <c r="Y122" i="1"/>
  <c r="Y128" i="1"/>
  <c r="Y121" i="1"/>
  <c r="Y126" i="1"/>
  <c r="Y125" i="1"/>
  <c r="Y127" i="1"/>
  <c r="AX118" i="1"/>
  <c r="AX127" i="1"/>
  <c r="AX124" i="1"/>
  <c r="AX120" i="1"/>
  <c r="AX119" i="1"/>
  <c r="AX125" i="1"/>
  <c r="AX122" i="1"/>
  <c r="AX128" i="1"/>
  <c r="AX121" i="1"/>
  <c r="AX126" i="1"/>
  <c r="AW118" i="1"/>
  <c r="AW120" i="1"/>
  <c r="AW124" i="1"/>
  <c r="AW119" i="1"/>
  <c r="AW122" i="1"/>
  <c r="AW128" i="1"/>
  <c r="AW121" i="1"/>
  <c r="AW126" i="1"/>
  <c r="AW125" i="1"/>
  <c r="AW127" i="1"/>
  <c r="AY118" i="1"/>
  <c r="AY127" i="1"/>
  <c r="AY125" i="1"/>
  <c r="AY120" i="1"/>
  <c r="AY124" i="1"/>
  <c r="AY126" i="1"/>
  <c r="AY119" i="1"/>
  <c r="AY122" i="1"/>
  <c r="AY128" i="1"/>
  <c r="AY121" i="1"/>
  <c r="Z118" i="1"/>
  <c r="Z127" i="1"/>
  <c r="Z130" i="1"/>
  <c r="Z124" i="1"/>
  <c r="Z120" i="1"/>
  <c r="Z119" i="1"/>
  <c r="Z122" i="1"/>
  <c r="Z128" i="1"/>
  <c r="Z125" i="1"/>
  <c r="Z121" i="1"/>
  <c r="Z126" i="1"/>
  <c r="AZ116" i="1"/>
  <c r="AD116" i="1"/>
  <c r="A146" i="1" s="1"/>
  <c r="AL116" i="1"/>
  <c r="AB116" i="1"/>
  <c r="A147" i="1" s="1"/>
  <c r="AK116" i="1"/>
  <c r="AX116" i="1"/>
  <c r="AA116" i="1"/>
  <c r="A143" i="1" s="1"/>
  <c r="AM116" i="1"/>
  <c r="AU116" i="1"/>
  <c r="X116" i="1"/>
  <c r="AY116" i="1"/>
  <c r="W116" i="1"/>
  <c r="AW116" i="1"/>
  <c r="A176" i="1"/>
  <c r="AV116" i="1"/>
  <c r="AS116" i="1"/>
  <c r="AT116" i="1"/>
  <c r="AN116" i="1"/>
  <c r="AC116" i="1"/>
  <c r="A144" i="1" s="1"/>
  <c r="Z116" i="1"/>
  <c r="A145" i="1" s="1"/>
  <c r="AG116" i="1"/>
  <c r="A150" i="1" s="1"/>
  <c r="AI2" i="1"/>
  <c r="AO2" i="1"/>
  <c r="A180" i="1"/>
  <c r="AQ2" i="1"/>
  <c r="Y116" i="1"/>
  <c r="A142" i="1" s="1"/>
  <c r="A175" i="1"/>
  <c r="AP2" i="1"/>
  <c r="AJ2" i="1"/>
  <c r="A181" i="1"/>
  <c r="AR2" i="1"/>
  <c r="AH116" i="1"/>
  <c r="A151" i="1" s="1"/>
  <c r="X130" i="1" l="1"/>
  <c r="AX130" i="1"/>
  <c r="AU130" i="1"/>
  <c r="W130" i="1"/>
  <c r="AS130" i="1"/>
  <c r="AV130" i="1"/>
  <c r="AT130" i="1"/>
  <c r="AY130" i="1"/>
  <c r="AW130" i="1"/>
  <c r="AZ130" i="1"/>
  <c r="AJ118" i="1"/>
  <c r="AJ121" i="1"/>
  <c r="AJ127" i="1"/>
  <c r="AJ125" i="1"/>
  <c r="AJ120" i="1"/>
  <c r="AJ124" i="1"/>
  <c r="AJ119" i="1"/>
  <c r="AJ122" i="1"/>
  <c r="AJ128" i="1"/>
  <c r="AJ126" i="1"/>
  <c r="AP118" i="1"/>
  <c r="AP127" i="1"/>
  <c r="AP124" i="1"/>
  <c r="AP120" i="1"/>
  <c r="AP119" i="1"/>
  <c r="AP122" i="1"/>
  <c r="AP128" i="1"/>
  <c r="AP125" i="1"/>
  <c r="AP121" i="1"/>
  <c r="AP126" i="1"/>
  <c r="AI118" i="1"/>
  <c r="AI127" i="1"/>
  <c r="AI125" i="1"/>
  <c r="AI120" i="1"/>
  <c r="AI124" i="1"/>
  <c r="AI119" i="1"/>
  <c r="AI122" i="1"/>
  <c r="AI128" i="1"/>
  <c r="AI126" i="1"/>
  <c r="AI121" i="1"/>
  <c r="AQ118" i="1"/>
  <c r="AQ127" i="1"/>
  <c r="AQ125" i="1"/>
  <c r="AQ120" i="1"/>
  <c r="AQ124" i="1"/>
  <c r="AQ119" i="1"/>
  <c r="AQ122" i="1"/>
  <c r="AQ128" i="1"/>
  <c r="AQ121" i="1"/>
  <c r="AQ126" i="1"/>
  <c r="AR118" i="1"/>
  <c r="AR121" i="1"/>
  <c r="AR127" i="1"/>
  <c r="AR125" i="1"/>
  <c r="AR120" i="1"/>
  <c r="AR124" i="1"/>
  <c r="AR126" i="1"/>
  <c r="AR119" i="1"/>
  <c r="AR122" i="1"/>
  <c r="AR128" i="1"/>
  <c r="AO118" i="1"/>
  <c r="AO120" i="1"/>
  <c r="AO124" i="1"/>
  <c r="AO119" i="1"/>
  <c r="AO122" i="1"/>
  <c r="AO128" i="1"/>
  <c r="AO125" i="1"/>
  <c r="AO121" i="1"/>
  <c r="AO126" i="1"/>
  <c r="AO127" i="1"/>
  <c r="AP116" i="1"/>
  <c r="A155" i="1" s="1"/>
  <c r="AQ116" i="1"/>
  <c r="A156" i="1" s="1"/>
  <c r="AJ116" i="1"/>
  <c r="A153" i="1" s="1"/>
  <c r="AR116" i="1"/>
  <c r="AO116" i="1"/>
  <c r="AI116" i="1"/>
  <c r="A152" i="1" s="1"/>
  <c r="AI130" i="1" l="1"/>
  <c r="AQ130" i="1"/>
  <c r="AJ130" i="1"/>
  <c r="AR130" i="1"/>
  <c r="AP130" i="1"/>
  <c r="AO130" i="1"/>
</calcChain>
</file>

<file path=xl/sharedStrings.xml><?xml version="1.0" encoding="utf-8"?>
<sst xmlns="http://schemas.openxmlformats.org/spreadsheetml/2006/main" count="58" uniqueCount="58">
  <si>
    <t>Chapter Number</t>
  </si>
  <si>
    <t>Verse Count</t>
  </si>
  <si>
    <t>Odd Chapters</t>
  </si>
  <si>
    <t>Even Chapters</t>
  </si>
  <si>
    <t>Odd Verses</t>
  </si>
  <si>
    <t>Even Verses</t>
  </si>
  <si>
    <t>Odd Chapter, Odd Verse</t>
  </si>
  <si>
    <t>Odd Chapter, Even Verse</t>
  </si>
  <si>
    <t>Even Chapter, Odd Verse</t>
  </si>
  <si>
    <t>Even Chapter, Even Verse</t>
  </si>
  <si>
    <t>Homogeneous</t>
  </si>
  <si>
    <t>Heterogeneous</t>
  </si>
  <si>
    <t>Chapter and Verse Sum</t>
  </si>
  <si>
    <t>Odd Sums</t>
  </si>
  <si>
    <t>Even Sums</t>
  </si>
  <si>
    <t>Sum of Odd Sums</t>
  </si>
  <si>
    <t>Sum of Even Sums</t>
  </si>
  <si>
    <t>Number of Chapters: 114</t>
  </si>
  <si>
    <t>Sum of Odd Chapters</t>
  </si>
  <si>
    <t>Sum of Even Chapters</t>
  </si>
  <si>
    <t>Sum of Odd Verses</t>
  </si>
  <si>
    <t>Sum of Even Verses</t>
  </si>
  <si>
    <t>Sum of Odd Sum Chapters</t>
  </si>
  <si>
    <t>Sum of Even Sum Chapters</t>
  </si>
  <si>
    <t>Sum of Odd Sum Verses</t>
  </si>
  <si>
    <t>Sum of Even Sum Verses</t>
  </si>
  <si>
    <t>Odd Chapters with Odd Sums</t>
  </si>
  <si>
    <t>Odd Chapters with Even Sums</t>
  </si>
  <si>
    <t>Even Chapters with Even Sums</t>
  </si>
  <si>
    <t>Even Chapters with Odd Sums</t>
  </si>
  <si>
    <t>Sum of Odd Chapters with Odd Sums</t>
  </si>
  <si>
    <t>Sum of Even Verses with Even Sums</t>
  </si>
  <si>
    <t>Sum of Even Verses with Odd Sums</t>
  </si>
  <si>
    <t>Sum of Odd Verses with Even Sums</t>
  </si>
  <si>
    <t>Sum of Odd Verses with Odd Sums</t>
  </si>
  <si>
    <t>Sum of Even Chapters with Even Sums</t>
  </si>
  <si>
    <t>Sum of Even Chapters with Odd Sums</t>
  </si>
  <si>
    <t>Sum of Odd Chapters with Even Sums</t>
  </si>
  <si>
    <t>Mean</t>
  </si>
  <si>
    <t>Median</t>
  </si>
  <si>
    <t>First Quartile</t>
  </si>
  <si>
    <t>Third Quartile</t>
  </si>
  <si>
    <t>Variance</t>
  </si>
  <si>
    <t>Standard Deviation</t>
  </si>
  <si>
    <t>Minimum</t>
  </si>
  <si>
    <t>Maximum</t>
  </si>
  <si>
    <t>Range</t>
  </si>
  <si>
    <t>Harmonic Mean</t>
  </si>
  <si>
    <t>Geometric Mean</t>
  </si>
  <si>
    <t>Sum</t>
  </si>
  <si>
    <t>Prime Chapters</t>
  </si>
  <si>
    <t>Prime Verses</t>
  </si>
  <si>
    <t>Prime Chapter, Composite Verse</t>
  </si>
  <si>
    <t>Prime Chapter and Verse</t>
  </si>
  <si>
    <t>Composite Chapter, Prime Verse</t>
  </si>
  <si>
    <t>Composite Chapter, Composite Verse</t>
  </si>
  <si>
    <t>Sum of Prime Chapters</t>
  </si>
  <si>
    <t>Sum of Prime Verses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</si>
</sst>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NumberFormat="1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801E5-7B9C-4BA7-88EC-C3DFFBDCFBAE}">
  <sheetPr codeName="Sheet1"/>
  <dimension ref="A1:BD219"/>
  <sheetViews>
    <sheetView tabSelected="1" zoomScaleNormal="100" workbookViewId="0">
      <selection activeCell="F116" sqref="F116"/>
    </sheetView>
  </sheetViews>
  <sheetFormatPr defaultRowHeight="15" outlineLevelRow="2" x14ac:dyDescent="0.25"/>
  <cols>
    <col min="1" max="1" width="17.85546875" style="1" customWidth="1"/>
    <col min="2" max="2" width="15.7109375" style="2" customWidth="1"/>
    <col min="3" max="4" width="11.5703125" style="2" customWidth="1"/>
    <col min="5" max="5" width="15.28515625" style="2" customWidth="1"/>
    <col min="6" max="6" width="13.5703125" style="2" customWidth="1"/>
    <col min="7" max="7" width="22.140625" style="2" customWidth="1"/>
    <col min="8" max="8" width="20.5703125" style="2" customWidth="1"/>
    <col min="9" max="10" width="13.5703125" style="2" customWidth="1"/>
    <col min="11" max="11" width="25.28515625" style="2" customWidth="1"/>
    <col min="12" max="12" width="29.42578125" style="2" customWidth="1"/>
    <col min="13" max="13" width="30.42578125" style="2" customWidth="1"/>
    <col min="14" max="14" width="34.7109375" style="2" customWidth="1"/>
    <col min="15" max="15" width="13.5703125" style="2" customWidth="1"/>
    <col min="16" max="16" width="9.140625" style="2"/>
    <col min="17" max="17" width="12.85546875" style="2" customWidth="1"/>
    <col min="18" max="18" width="13.28515625" style="2" customWidth="1"/>
    <col min="19" max="20" width="11.42578125" style="2" customWidth="1"/>
    <col min="21" max="21" width="19.85546875" style="2" customWidth="1"/>
    <col min="22" max="22" width="20.28515625" style="2" customWidth="1"/>
    <col min="23" max="23" width="18.7109375" style="2" customWidth="1"/>
    <col min="24" max="24" width="18.42578125" style="2" customWidth="1"/>
    <col min="25" max="25" width="14" style="2" customWidth="1"/>
    <col min="26" max="26" width="14.42578125" style="2" customWidth="1"/>
    <col min="27" max="27" width="22" style="2" customWidth="1"/>
    <col min="28" max="28" width="22.85546875" style="2" customWidth="1"/>
    <col min="29" max="29" width="23.28515625" style="2" customWidth="1"/>
    <col min="30" max="30" width="22.5703125" style="2" customWidth="1"/>
    <col min="31" max="31" width="22.7109375" style="2" customWidth="1"/>
    <col min="32" max="32" width="23.28515625" style="2" customWidth="1"/>
    <col min="33" max="33" width="10.7109375" style="2" customWidth="1"/>
    <col min="34" max="34" width="10.5703125" style="2" customWidth="1"/>
    <col min="35" max="36" width="16.85546875" style="2" customWidth="1"/>
    <col min="37" max="37" width="27" style="2" customWidth="1"/>
    <col min="38" max="38" width="28.5703125" style="2" customWidth="1"/>
    <col min="39" max="39" width="27.28515625" style="2" customWidth="1"/>
    <col min="40" max="40" width="27.85546875" style="2" customWidth="1"/>
    <col min="41" max="41" width="24.140625" style="2" customWidth="1"/>
    <col min="42" max="42" width="25.42578125" style="2" customWidth="1"/>
    <col min="43" max="43" width="23" style="2" customWidth="1"/>
    <col min="44" max="44" width="23.7109375" style="2" customWidth="1"/>
    <col min="45" max="45" width="34.140625" style="2" customWidth="1"/>
    <col min="46" max="46" width="34.42578125" style="2" customWidth="1"/>
    <col min="47" max="47" width="34.7109375" style="2" customWidth="1"/>
    <col min="48" max="48" width="34.85546875" style="2" customWidth="1"/>
    <col min="49" max="49" width="33.140625" style="2" customWidth="1"/>
    <col min="50" max="50" width="33.28515625" style="2" customWidth="1"/>
    <col min="51" max="51" width="33.5703125" style="2" customWidth="1"/>
    <col min="52" max="52" width="33.42578125" style="2" customWidth="1"/>
    <col min="57" max="57" width="25.140625" style="2" customWidth="1"/>
    <col min="58" max="58" width="25.5703125" style="2" customWidth="1"/>
    <col min="59" max="59" width="30" style="2" customWidth="1"/>
    <col min="60" max="60" width="27.140625" style="2" customWidth="1"/>
    <col min="61" max="16384" width="9.140625" style="2"/>
  </cols>
  <sheetData>
    <row r="1" spans="2:52" s="1" customFormat="1" x14ac:dyDescent="0.25">
      <c r="B1" s="1" t="s">
        <v>0</v>
      </c>
      <c r="C1" s="1" t="s">
        <v>1</v>
      </c>
      <c r="E1" s="1" t="s">
        <v>50</v>
      </c>
      <c r="F1" s="1" t="s">
        <v>51</v>
      </c>
      <c r="G1" s="1" t="s">
        <v>56</v>
      </c>
      <c r="H1" s="1" t="s">
        <v>57</v>
      </c>
      <c r="K1" s="1" t="s">
        <v>53</v>
      </c>
      <c r="L1" s="1" t="s">
        <v>52</v>
      </c>
      <c r="M1" s="1" t="s">
        <v>54</v>
      </c>
      <c r="N1" s="1" t="s">
        <v>55</v>
      </c>
      <c r="Q1" s="1" t="s">
        <v>2</v>
      </c>
      <c r="R1" s="1" t="s">
        <v>3</v>
      </c>
      <c r="S1" s="1" t="s">
        <v>4</v>
      </c>
      <c r="T1" s="1" t="s">
        <v>5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10</v>
      </c>
      <c r="Z1" s="1" t="s">
        <v>11</v>
      </c>
      <c r="AA1" s="1" t="s">
        <v>6</v>
      </c>
      <c r="AB1" s="1" t="s">
        <v>8</v>
      </c>
      <c r="AC1" s="1" t="s">
        <v>9</v>
      </c>
      <c r="AD1" s="1" t="s">
        <v>7</v>
      </c>
      <c r="AF1" s="1" t="s">
        <v>12</v>
      </c>
      <c r="AG1" s="1" t="s">
        <v>13</v>
      </c>
      <c r="AH1" s="1" t="s">
        <v>14</v>
      </c>
      <c r="AI1" s="1" t="s">
        <v>15</v>
      </c>
      <c r="AJ1" s="1" t="s">
        <v>16</v>
      </c>
      <c r="AK1" s="1" t="s">
        <v>26</v>
      </c>
      <c r="AL1" s="1" t="s">
        <v>27</v>
      </c>
      <c r="AM1" s="1" t="s">
        <v>29</v>
      </c>
      <c r="AN1" s="1" t="s">
        <v>28</v>
      </c>
      <c r="AO1" s="1" t="s">
        <v>22</v>
      </c>
      <c r="AP1" s="1" t="s">
        <v>23</v>
      </c>
      <c r="AQ1" s="1" t="s">
        <v>24</v>
      </c>
      <c r="AR1" s="1" t="s">
        <v>25</v>
      </c>
      <c r="AS1" s="1" t="s">
        <v>30</v>
      </c>
      <c r="AT1" s="1" t="s">
        <v>37</v>
      </c>
      <c r="AU1" s="1" t="s">
        <v>36</v>
      </c>
      <c r="AV1" s="1" t="s">
        <v>35</v>
      </c>
      <c r="AW1" s="1" t="s">
        <v>34</v>
      </c>
      <c r="AX1" s="1" t="s">
        <v>33</v>
      </c>
      <c r="AY1" s="1" t="s">
        <v>32</v>
      </c>
      <c r="AZ1" s="1" t="s">
        <v>31</v>
      </c>
    </row>
    <row r="2" spans="2:52" outlineLevel="1" x14ac:dyDescent="0.25">
      <c r="B2" s="2">
        <v>1</v>
      </c>
      <c r="C2" s="2">
        <v>7</v>
      </c>
      <c r="E2" s="2" t="b">
        <f>ISPRIME(B2)</f>
        <v>0</v>
      </c>
      <c r="F2" s="2" t="b">
        <f>ISPRIME(C2)</f>
        <v>1</v>
      </c>
      <c r="G2" s="2" t="str">
        <f>IF(E2, B2, "")</f>
        <v/>
      </c>
      <c r="H2" s="2">
        <f>IF(F2, C2, "")</f>
        <v>7</v>
      </c>
      <c r="K2" s="2" t="b">
        <f>AND(E2, F2)</f>
        <v>0</v>
      </c>
      <c r="L2" s="2" t="b">
        <f>AND(E2, NOT(F2))</f>
        <v>0</v>
      </c>
      <c r="M2" s="2" t="b">
        <f>AND(NOT(E2), F2)</f>
        <v>1</v>
      </c>
      <c r="N2" s="2" t="b">
        <f>AND(NOT(E2), NOT(F2))</f>
        <v>0</v>
      </c>
      <c r="Q2" s="2" t="b">
        <f t="shared" ref="Q2:Q33" si="0">ISODD(B2)</f>
        <v>1</v>
      </c>
      <c r="R2" s="2" t="b">
        <f t="shared" ref="R2:R33" si="1">ISEVEN(B2)</f>
        <v>0</v>
      </c>
      <c r="S2" s="2" t="b">
        <f t="shared" ref="S2:S33" si="2">ISODD(C2)</f>
        <v>1</v>
      </c>
      <c r="T2" s="2" t="b">
        <f t="shared" ref="T2:T33" si="3">ISEVEN(C2)</f>
        <v>0</v>
      </c>
      <c r="U2" s="2">
        <f t="shared" ref="U2:U33" si="4">IF(Q2, B2, "")</f>
        <v>1</v>
      </c>
      <c r="V2" s="2" t="str">
        <f t="shared" ref="V2:V33" si="5">IF(R2, B2, "")</f>
        <v/>
      </c>
      <c r="W2" s="2">
        <f t="shared" ref="W2:W33" si="6">IF(S2, C2, "")</f>
        <v>7</v>
      </c>
      <c r="X2" s="2" t="str">
        <f t="shared" ref="X2:X33" si="7">IF(T2, C2, "")</f>
        <v/>
      </c>
      <c r="Y2" s="2" t="b">
        <f t="shared" ref="Y2:Y33" si="8">OR(AND(Q2, S2), AND(R2, T2))</f>
        <v>1</v>
      </c>
      <c r="Z2" s="2" t="b">
        <f t="shared" ref="Z2:Z33" si="9">OR(AND(Q2, T2), AND(R2, S2))</f>
        <v>0</v>
      </c>
      <c r="AA2" s="2" t="b">
        <f t="shared" ref="AA2:AA33" si="10">AND(Q2, S2)</f>
        <v>1</v>
      </c>
      <c r="AB2" s="2" t="b">
        <f t="shared" ref="AB2:AB33" si="11">AND(R2, S2)</f>
        <v>0</v>
      </c>
      <c r="AC2" s="2" t="b">
        <f t="shared" ref="AC2:AC33" si="12">AND(R2, T2)</f>
        <v>0</v>
      </c>
      <c r="AD2" s="2" t="b">
        <f t="shared" ref="AD2:AD33" si="13">AND(Q2, T2)</f>
        <v>0</v>
      </c>
      <c r="AF2" s="2">
        <f t="shared" ref="AF2:AF33" si="14">SUM(B2, C2)</f>
        <v>8</v>
      </c>
      <c r="AG2" s="2" t="b">
        <f>ISODD(AF2)</f>
        <v>0</v>
      </c>
      <c r="AH2" s="2" t="b">
        <f>ISEVEN(AF2)</f>
        <v>1</v>
      </c>
      <c r="AI2" s="2" t="str">
        <f>IF(AG2, AF2, "")</f>
        <v/>
      </c>
      <c r="AJ2" s="2">
        <f>IF(AH2, AF2, "")</f>
        <v>8</v>
      </c>
      <c r="AK2" s="2" t="b">
        <f t="shared" ref="AK2:AK33" si="15">AND(ISODD(B2),ISODD(AF2))</f>
        <v>0</v>
      </c>
      <c r="AL2" s="2" t="b">
        <f t="shared" ref="AL2:AL33" si="16">AND(ISODD(B2),ISEVEN(AF2))</f>
        <v>1</v>
      </c>
      <c r="AM2" s="2" t="b">
        <f t="shared" ref="AM2:AM33" si="17">AND(ISEVEN(B2),ISODD(AF2))</f>
        <v>0</v>
      </c>
      <c r="AN2" s="2" t="b">
        <f t="shared" ref="AN2:AN33" si="18">AND(ISEVEN(B2),ISEVEN(AF2))</f>
        <v>0</v>
      </c>
      <c r="AO2" s="2" t="str">
        <f t="shared" ref="AO2:AO33" si="19">IF(AG2,B2, "")</f>
        <v/>
      </c>
      <c r="AP2" s="2">
        <f t="shared" ref="AP2:AP33" si="20">IF(AH2, B2, "")</f>
        <v>1</v>
      </c>
      <c r="AQ2" s="2" t="str">
        <f t="shared" ref="AQ2:AQ33" si="21">IF(AG2, C2, "")</f>
        <v/>
      </c>
      <c r="AR2" s="2">
        <f t="shared" ref="AR2:AR33" si="22">IF(AH2, C2, "")</f>
        <v>7</v>
      </c>
      <c r="AS2" s="2" t="str">
        <f t="shared" ref="AS2:AS33" si="23">IF(AND(ISODD(B2),ISODD(AF2)), B2, "")</f>
        <v/>
      </c>
      <c r="AT2" s="2">
        <f t="shared" ref="AT2:AT33" si="24">IF(AND(ISODD(B2),ISEVEN(AF2)), B2, "")</f>
        <v>1</v>
      </c>
      <c r="AU2" s="2" t="str">
        <f t="shared" ref="AU2:AU33" si="25">IF(AND(ISEVEN(B2),ISODD(AF2)), B2, "")</f>
        <v/>
      </c>
      <c r="AV2" s="2" t="str">
        <f t="shared" ref="AV2:AV33" si="26">IF(AND(ISEVEN(B2),ISEVEN(AF2)), B2, "")</f>
        <v/>
      </c>
      <c r="AW2" s="2" t="str">
        <f t="shared" ref="AW2:AW33" si="27">IF(AND(ISODD(C2),ISODD(AF2)), C2, "")</f>
        <v/>
      </c>
      <c r="AX2" s="2">
        <f t="shared" ref="AX2:AX33" si="28">IF(AND(ISODD(C2),ISEVEN(AF2)), C2, "")</f>
        <v>7</v>
      </c>
      <c r="AY2" s="2" t="str">
        <f t="shared" ref="AY2:AY33" si="29">IF(AND(ISEVEN(C2),ISODD(AF2)), C2, "")</f>
        <v/>
      </c>
      <c r="AZ2" s="2" t="str">
        <f t="shared" ref="AZ2:AZ33" si="30">IF(AND(ISEVEN(C2),ISEVEN(AF2)), C2, "")</f>
        <v/>
      </c>
    </row>
    <row r="3" spans="2:52" outlineLevel="1" x14ac:dyDescent="0.25">
      <c r="B3" s="2">
        <v>2</v>
      </c>
      <c r="C3" s="2">
        <v>286</v>
      </c>
      <c r="E3" s="2" t="b">
        <f>ISPRIME(B3)</f>
        <v>1</v>
      </c>
      <c r="F3" s="2" t="b">
        <f>ISPRIME(C3)</f>
        <v>0</v>
      </c>
      <c r="G3" s="2">
        <f t="shared" ref="G3:G66" si="31">IF(E3, B3, "")</f>
        <v>2</v>
      </c>
      <c r="H3" s="2" t="str">
        <f t="shared" ref="H3:H66" si="32">IF(F3, C3, "")</f>
        <v/>
      </c>
      <c r="K3" s="2" t="b">
        <f t="shared" ref="K3:K66" si="33">AND(E3, F3)</f>
        <v>0</v>
      </c>
      <c r="L3" s="2" t="b">
        <f t="shared" ref="L3:L66" si="34">AND(E3, NOT(F3))</f>
        <v>1</v>
      </c>
      <c r="M3" s="2" t="b">
        <f t="shared" ref="M3:M66" si="35">AND(NOT(E3), F3)</f>
        <v>0</v>
      </c>
      <c r="N3" s="2" t="b">
        <f t="shared" ref="N3:N66" si="36">AND(NOT(E3), NOT(F3))</f>
        <v>0</v>
      </c>
      <c r="Q3" s="2" t="b">
        <f t="shared" si="0"/>
        <v>0</v>
      </c>
      <c r="R3" s="2" t="b">
        <f t="shared" si="1"/>
        <v>1</v>
      </c>
      <c r="S3" s="2" t="b">
        <f t="shared" si="2"/>
        <v>0</v>
      </c>
      <c r="T3" s="2" t="b">
        <f t="shared" si="3"/>
        <v>1</v>
      </c>
      <c r="U3" s="2" t="str">
        <f t="shared" si="4"/>
        <v/>
      </c>
      <c r="V3" s="2">
        <f t="shared" si="5"/>
        <v>2</v>
      </c>
      <c r="W3" s="2" t="str">
        <f t="shared" si="6"/>
        <v/>
      </c>
      <c r="X3" s="2">
        <f t="shared" si="7"/>
        <v>286</v>
      </c>
      <c r="Y3" s="2" t="b">
        <f t="shared" si="8"/>
        <v>1</v>
      </c>
      <c r="Z3" s="2" t="b">
        <f t="shared" si="9"/>
        <v>0</v>
      </c>
      <c r="AA3" s="2" t="b">
        <f t="shared" si="10"/>
        <v>0</v>
      </c>
      <c r="AB3" s="2" t="b">
        <f t="shared" si="11"/>
        <v>0</v>
      </c>
      <c r="AC3" s="2" t="b">
        <f t="shared" si="12"/>
        <v>1</v>
      </c>
      <c r="AD3" s="2" t="b">
        <f t="shared" si="13"/>
        <v>0</v>
      </c>
      <c r="AF3" s="2">
        <f t="shared" si="14"/>
        <v>288</v>
      </c>
      <c r="AG3" s="2" t="b">
        <f t="shared" ref="AG3:AG66" si="37">ISODD(AF3)</f>
        <v>0</v>
      </c>
      <c r="AH3" s="2" t="b">
        <f t="shared" ref="AH3:AH66" si="38">ISEVEN(AF3)</f>
        <v>1</v>
      </c>
      <c r="AI3" s="2" t="str">
        <f t="shared" ref="AI3:AI66" si="39">IF(AG3, AF3, "")</f>
        <v/>
      </c>
      <c r="AJ3" s="2">
        <f t="shared" ref="AJ3:AJ66" si="40">IF(AH3, AF3, "")</f>
        <v>288</v>
      </c>
      <c r="AK3" s="2" t="b">
        <f t="shared" si="15"/>
        <v>0</v>
      </c>
      <c r="AL3" s="2" t="b">
        <f t="shared" si="16"/>
        <v>0</v>
      </c>
      <c r="AM3" s="2" t="b">
        <f t="shared" si="17"/>
        <v>0</v>
      </c>
      <c r="AN3" s="2" t="b">
        <f t="shared" si="18"/>
        <v>1</v>
      </c>
      <c r="AO3" s="2" t="str">
        <f t="shared" si="19"/>
        <v/>
      </c>
      <c r="AP3" s="2">
        <f t="shared" si="20"/>
        <v>2</v>
      </c>
      <c r="AQ3" s="2" t="str">
        <f t="shared" si="21"/>
        <v/>
      </c>
      <c r="AR3" s="2">
        <f t="shared" si="22"/>
        <v>286</v>
      </c>
      <c r="AS3" s="2" t="str">
        <f t="shared" si="23"/>
        <v/>
      </c>
      <c r="AT3" s="2" t="str">
        <f t="shared" si="24"/>
        <v/>
      </c>
      <c r="AU3" s="2" t="str">
        <f t="shared" si="25"/>
        <v/>
      </c>
      <c r="AV3" s="2">
        <f t="shared" si="26"/>
        <v>2</v>
      </c>
      <c r="AW3" s="2" t="str">
        <f t="shared" si="27"/>
        <v/>
      </c>
      <c r="AX3" s="2" t="str">
        <f t="shared" si="28"/>
        <v/>
      </c>
      <c r="AY3" s="2" t="str">
        <f t="shared" si="29"/>
        <v/>
      </c>
      <c r="AZ3" s="2">
        <f t="shared" si="30"/>
        <v>286</v>
      </c>
    </row>
    <row r="4" spans="2:52" outlineLevel="1" x14ac:dyDescent="0.25">
      <c r="B4" s="2">
        <v>3</v>
      </c>
      <c r="C4" s="2">
        <v>200</v>
      </c>
      <c r="E4" s="2" t="b">
        <f>ISPRIME(B4)</f>
        <v>1</v>
      </c>
      <c r="F4" s="2" t="b">
        <f>ISPRIME(C4)</f>
        <v>0</v>
      </c>
      <c r="G4" s="2">
        <f t="shared" si="31"/>
        <v>3</v>
      </c>
      <c r="H4" s="2" t="str">
        <f t="shared" si="32"/>
        <v/>
      </c>
      <c r="K4" s="2" t="b">
        <f t="shared" si="33"/>
        <v>0</v>
      </c>
      <c r="L4" s="2" t="b">
        <f t="shared" si="34"/>
        <v>1</v>
      </c>
      <c r="M4" s="2" t="b">
        <f t="shared" si="35"/>
        <v>0</v>
      </c>
      <c r="N4" s="2" t="b">
        <f t="shared" si="36"/>
        <v>0</v>
      </c>
      <c r="Q4" s="2" t="b">
        <f t="shared" si="0"/>
        <v>1</v>
      </c>
      <c r="R4" s="2" t="b">
        <f t="shared" si="1"/>
        <v>0</v>
      </c>
      <c r="S4" s="2" t="b">
        <f t="shared" si="2"/>
        <v>0</v>
      </c>
      <c r="T4" s="2" t="b">
        <f t="shared" si="3"/>
        <v>1</v>
      </c>
      <c r="U4" s="2">
        <f t="shared" si="4"/>
        <v>3</v>
      </c>
      <c r="V4" s="2" t="str">
        <f t="shared" si="5"/>
        <v/>
      </c>
      <c r="W4" s="2" t="str">
        <f t="shared" si="6"/>
        <v/>
      </c>
      <c r="X4" s="2">
        <f t="shared" si="7"/>
        <v>200</v>
      </c>
      <c r="Y4" s="2" t="b">
        <f t="shared" si="8"/>
        <v>0</v>
      </c>
      <c r="Z4" s="2" t="b">
        <f t="shared" si="9"/>
        <v>1</v>
      </c>
      <c r="AA4" s="2" t="b">
        <f t="shared" si="10"/>
        <v>0</v>
      </c>
      <c r="AB4" s="2" t="b">
        <f t="shared" si="11"/>
        <v>0</v>
      </c>
      <c r="AC4" s="2" t="b">
        <f t="shared" si="12"/>
        <v>0</v>
      </c>
      <c r="AD4" s="2" t="b">
        <f t="shared" si="13"/>
        <v>1</v>
      </c>
      <c r="AF4" s="2">
        <f t="shared" si="14"/>
        <v>203</v>
      </c>
      <c r="AG4" s="2" t="b">
        <f t="shared" si="37"/>
        <v>1</v>
      </c>
      <c r="AH4" s="2" t="b">
        <f t="shared" si="38"/>
        <v>0</v>
      </c>
      <c r="AI4" s="2">
        <f t="shared" si="39"/>
        <v>203</v>
      </c>
      <c r="AJ4" s="2" t="str">
        <f t="shared" si="40"/>
        <v/>
      </c>
      <c r="AK4" s="2" t="b">
        <f t="shared" si="15"/>
        <v>1</v>
      </c>
      <c r="AL4" s="2" t="b">
        <f t="shared" si="16"/>
        <v>0</v>
      </c>
      <c r="AM4" s="2" t="b">
        <f t="shared" si="17"/>
        <v>0</v>
      </c>
      <c r="AN4" s="2" t="b">
        <f t="shared" si="18"/>
        <v>0</v>
      </c>
      <c r="AO4" s="2">
        <f t="shared" si="19"/>
        <v>3</v>
      </c>
      <c r="AP4" s="2" t="str">
        <f t="shared" si="20"/>
        <v/>
      </c>
      <c r="AQ4" s="2">
        <f t="shared" si="21"/>
        <v>200</v>
      </c>
      <c r="AR4" s="2" t="str">
        <f t="shared" si="22"/>
        <v/>
      </c>
      <c r="AS4" s="2">
        <f t="shared" si="23"/>
        <v>3</v>
      </c>
      <c r="AT4" s="2" t="str">
        <f t="shared" si="24"/>
        <v/>
      </c>
      <c r="AU4" s="2" t="str">
        <f t="shared" si="25"/>
        <v/>
      </c>
      <c r="AV4" s="2" t="str">
        <f t="shared" si="26"/>
        <v/>
      </c>
      <c r="AW4" s="2" t="str">
        <f t="shared" si="27"/>
        <v/>
      </c>
      <c r="AX4" s="2" t="str">
        <f t="shared" si="28"/>
        <v/>
      </c>
      <c r="AY4" s="2">
        <f t="shared" si="29"/>
        <v>200</v>
      </c>
      <c r="AZ4" s="2" t="str">
        <f t="shared" si="30"/>
        <v/>
      </c>
    </row>
    <row r="5" spans="2:52" outlineLevel="1" x14ac:dyDescent="0.25">
      <c r="B5" s="2">
        <v>4</v>
      </c>
      <c r="C5" s="2">
        <v>176</v>
      </c>
      <c r="E5" s="2" t="b">
        <f>ISPRIME(B5)</f>
        <v>0</v>
      </c>
      <c r="F5" s="2" t="b">
        <f>ISPRIME(C5)</f>
        <v>0</v>
      </c>
      <c r="G5" s="2" t="str">
        <f t="shared" si="31"/>
        <v/>
      </c>
      <c r="H5" s="2" t="str">
        <f t="shared" si="32"/>
        <v/>
      </c>
      <c r="K5" s="2" t="b">
        <f t="shared" si="33"/>
        <v>0</v>
      </c>
      <c r="L5" s="2" t="b">
        <f t="shared" si="34"/>
        <v>0</v>
      </c>
      <c r="M5" s="2" t="b">
        <f t="shared" si="35"/>
        <v>0</v>
      </c>
      <c r="N5" s="2" t="b">
        <f t="shared" si="36"/>
        <v>1</v>
      </c>
      <c r="Q5" s="2" t="b">
        <f t="shared" si="0"/>
        <v>0</v>
      </c>
      <c r="R5" s="2" t="b">
        <f t="shared" si="1"/>
        <v>1</v>
      </c>
      <c r="S5" s="2" t="b">
        <f t="shared" si="2"/>
        <v>0</v>
      </c>
      <c r="T5" s="2" t="b">
        <f t="shared" si="3"/>
        <v>1</v>
      </c>
      <c r="U5" s="2" t="str">
        <f t="shared" si="4"/>
        <v/>
      </c>
      <c r="V5" s="2">
        <f t="shared" si="5"/>
        <v>4</v>
      </c>
      <c r="W5" s="2" t="str">
        <f t="shared" si="6"/>
        <v/>
      </c>
      <c r="X5" s="2">
        <f t="shared" si="7"/>
        <v>176</v>
      </c>
      <c r="Y5" s="2" t="b">
        <f t="shared" si="8"/>
        <v>1</v>
      </c>
      <c r="Z5" s="2" t="b">
        <f t="shared" si="9"/>
        <v>0</v>
      </c>
      <c r="AA5" s="2" t="b">
        <f t="shared" si="10"/>
        <v>0</v>
      </c>
      <c r="AB5" s="2" t="b">
        <f t="shared" si="11"/>
        <v>0</v>
      </c>
      <c r="AC5" s="2" t="b">
        <f t="shared" si="12"/>
        <v>1</v>
      </c>
      <c r="AD5" s="2" t="b">
        <f t="shared" si="13"/>
        <v>0</v>
      </c>
      <c r="AF5" s="2">
        <f t="shared" si="14"/>
        <v>180</v>
      </c>
      <c r="AG5" s="2" t="b">
        <f t="shared" si="37"/>
        <v>0</v>
      </c>
      <c r="AH5" s="2" t="b">
        <f t="shared" si="38"/>
        <v>1</v>
      </c>
      <c r="AI5" s="2" t="str">
        <f t="shared" si="39"/>
        <v/>
      </c>
      <c r="AJ5" s="2">
        <f t="shared" si="40"/>
        <v>180</v>
      </c>
      <c r="AK5" s="2" t="b">
        <f t="shared" si="15"/>
        <v>0</v>
      </c>
      <c r="AL5" s="2" t="b">
        <f t="shared" si="16"/>
        <v>0</v>
      </c>
      <c r="AM5" s="2" t="b">
        <f t="shared" si="17"/>
        <v>0</v>
      </c>
      <c r="AN5" s="2" t="b">
        <f t="shared" si="18"/>
        <v>1</v>
      </c>
      <c r="AO5" s="2" t="str">
        <f t="shared" si="19"/>
        <v/>
      </c>
      <c r="AP5" s="2">
        <f t="shared" si="20"/>
        <v>4</v>
      </c>
      <c r="AQ5" s="2" t="str">
        <f t="shared" si="21"/>
        <v/>
      </c>
      <c r="AR5" s="2">
        <f t="shared" si="22"/>
        <v>176</v>
      </c>
      <c r="AS5" s="2" t="str">
        <f t="shared" si="23"/>
        <v/>
      </c>
      <c r="AT5" s="2" t="str">
        <f t="shared" si="24"/>
        <v/>
      </c>
      <c r="AU5" s="2" t="str">
        <f t="shared" si="25"/>
        <v/>
      </c>
      <c r="AV5" s="2">
        <f t="shared" si="26"/>
        <v>4</v>
      </c>
      <c r="AW5" s="2" t="str">
        <f t="shared" si="27"/>
        <v/>
      </c>
      <c r="AX5" s="2" t="str">
        <f t="shared" si="28"/>
        <v/>
      </c>
      <c r="AY5" s="2" t="str">
        <f t="shared" si="29"/>
        <v/>
      </c>
      <c r="AZ5" s="2">
        <f t="shared" si="30"/>
        <v>176</v>
      </c>
    </row>
    <row r="6" spans="2:52" outlineLevel="1" x14ac:dyDescent="0.25">
      <c r="B6" s="2">
        <v>5</v>
      </c>
      <c r="C6" s="2">
        <v>120</v>
      </c>
      <c r="E6" s="2" t="b">
        <f>ISPRIME(B6)</f>
        <v>1</v>
      </c>
      <c r="F6" s="2" t="b">
        <f>ISPRIME(C6)</f>
        <v>0</v>
      </c>
      <c r="G6" s="2">
        <f t="shared" si="31"/>
        <v>5</v>
      </c>
      <c r="H6" s="2" t="str">
        <f t="shared" si="32"/>
        <v/>
      </c>
      <c r="K6" s="2" t="b">
        <f t="shared" si="33"/>
        <v>0</v>
      </c>
      <c r="L6" s="2" t="b">
        <f t="shared" si="34"/>
        <v>1</v>
      </c>
      <c r="M6" s="2" t="b">
        <f t="shared" si="35"/>
        <v>0</v>
      </c>
      <c r="N6" s="2" t="b">
        <f t="shared" si="36"/>
        <v>0</v>
      </c>
      <c r="Q6" s="2" t="b">
        <f t="shared" si="0"/>
        <v>1</v>
      </c>
      <c r="R6" s="2" t="b">
        <f t="shared" si="1"/>
        <v>0</v>
      </c>
      <c r="S6" s="2" t="b">
        <f t="shared" si="2"/>
        <v>0</v>
      </c>
      <c r="T6" s="2" t="b">
        <f t="shared" si="3"/>
        <v>1</v>
      </c>
      <c r="U6" s="2">
        <f t="shared" si="4"/>
        <v>5</v>
      </c>
      <c r="V6" s="2" t="str">
        <f t="shared" si="5"/>
        <v/>
      </c>
      <c r="W6" s="2" t="str">
        <f t="shared" si="6"/>
        <v/>
      </c>
      <c r="X6" s="2">
        <f t="shared" si="7"/>
        <v>120</v>
      </c>
      <c r="Y6" s="2" t="b">
        <f t="shared" si="8"/>
        <v>0</v>
      </c>
      <c r="Z6" s="2" t="b">
        <f t="shared" si="9"/>
        <v>1</v>
      </c>
      <c r="AA6" s="2" t="b">
        <f t="shared" si="10"/>
        <v>0</v>
      </c>
      <c r="AB6" s="2" t="b">
        <f t="shared" si="11"/>
        <v>0</v>
      </c>
      <c r="AC6" s="2" t="b">
        <f t="shared" si="12"/>
        <v>0</v>
      </c>
      <c r="AD6" s="2" t="b">
        <f t="shared" si="13"/>
        <v>1</v>
      </c>
      <c r="AF6" s="2">
        <f t="shared" si="14"/>
        <v>125</v>
      </c>
      <c r="AG6" s="2" t="b">
        <f t="shared" si="37"/>
        <v>1</v>
      </c>
      <c r="AH6" s="2" t="b">
        <f t="shared" si="38"/>
        <v>0</v>
      </c>
      <c r="AI6" s="2">
        <f t="shared" si="39"/>
        <v>125</v>
      </c>
      <c r="AJ6" s="2" t="str">
        <f t="shared" si="40"/>
        <v/>
      </c>
      <c r="AK6" s="2" t="b">
        <f t="shared" si="15"/>
        <v>1</v>
      </c>
      <c r="AL6" s="2" t="b">
        <f t="shared" si="16"/>
        <v>0</v>
      </c>
      <c r="AM6" s="2" t="b">
        <f t="shared" si="17"/>
        <v>0</v>
      </c>
      <c r="AN6" s="2" t="b">
        <f t="shared" si="18"/>
        <v>0</v>
      </c>
      <c r="AO6" s="2">
        <f t="shared" si="19"/>
        <v>5</v>
      </c>
      <c r="AP6" s="2" t="str">
        <f t="shared" si="20"/>
        <v/>
      </c>
      <c r="AQ6" s="2">
        <f t="shared" si="21"/>
        <v>120</v>
      </c>
      <c r="AR6" s="2" t="str">
        <f t="shared" si="22"/>
        <v/>
      </c>
      <c r="AS6" s="2">
        <f t="shared" si="23"/>
        <v>5</v>
      </c>
      <c r="AT6" s="2" t="str">
        <f t="shared" si="24"/>
        <v/>
      </c>
      <c r="AU6" s="2" t="str">
        <f t="shared" si="25"/>
        <v/>
      </c>
      <c r="AV6" s="2" t="str">
        <f t="shared" si="26"/>
        <v/>
      </c>
      <c r="AW6" s="2" t="str">
        <f t="shared" si="27"/>
        <v/>
      </c>
      <c r="AX6" s="2" t="str">
        <f t="shared" si="28"/>
        <v/>
      </c>
      <c r="AY6" s="2">
        <f t="shared" si="29"/>
        <v>120</v>
      </c>
      <c r="AZ6" s="2" t="str">
        <f t="shared" si="30"/>
        <v/>
      </c>
    </row>
    <row r="7" spans="2:52" outlineLevel="1" x14ac:dyDescent="0.25">
      <c r="B7" s="2">
        <v>6</v>
      </c>
      <c r="C7" s="2">
        <v>165</v>
      </c>
      <c r="E7" s="2" t="b">
        <f>ISPRIME(B7)</f>
        <v>0</v>
      </c>
      <c r="F7" s="2" t="b">
        <f>ISPRIME(C7)</f>
        <v>0</v>
      </c>
      <c r="G7" s="2" t="str">
        <f t="shared" si="31"/>
        <v/>
      </c>
      <c r="H7" s="2" t="str">
        <f t="shared" si="32"/>
        <v/>
      </c>
      <c r="K7" s="2" t="b">
        <f t="shared" si="33"/>
        <v>0</v>
      </c>
      <c r="L7" s="2" t="b">
        <f t="shared" si="34"/>
        <v>0</v>
      </c>
      <c r="M7" s="2" t="b">
        <f t="shared" si="35"/>
        <v>0</v>
      </c>
      <c r="N7" s="2" t="b">
        <f t="shared" si="36"/>
        <v>1</v>
      </c>
      <c r="Q7" s="2" t="b">
        <f t="shared" si="0"/>
        <v>0</v>
      </c>
      <c r="R7" s="2" t="b">
        <f t="shared" si="1"/>
        <v>1</v>
      </c>
      <c r="S7" s="2" t="b">
        <f t="shared" si="2"/>
        <v>1</v>
      </c>
      <c r="T7" s="2" t="b">
        <f t="shared" si="3"/>
        <v>0</v>
      </c>
      <c r="U7" s="2" t="str">
        <f t="shared" si="4"/>
        <v/>
      </c>
      <c r="V7" s="2">
        <f t="shared" si="5"/>
        <v>6</v>
      </c>
      <c r="W7" s="2">
        <f t="shared" si="6"/>
        <v>165</v>
      </c>
      <c r="X7" s="2" t="str">
        <f t="shared" si="7"/>
        <v/>
      </c>
      <c r="Y7" s="2" t="b">
        <f t="shared" si="8"/>
        <v>0</v>
      </c>
      <c r="Z7" s="2" t="b">
        <f t="shared" si="9"/>
        <v>1</v>
      </c>
      <c r="AA7" s="2" t="b">
        <f t="shared" si="10"/>
        <v>0</v>
      </c>
      <c r="AB7" s="2" t="b">
        <f t="shared" si="11"/>
        <v>1</v>
      </c>
      <c r="AC7" s="2" t="b">
        <f t="shared" si="12"/>
        <v>0</v>
      </c>
      <c r="AD7" s="2" t="b">
        <f t="shared" si="13"/>
        <v>0</v>
      </c>
      <c r="AF7" s="2">
        <f t="shared" si="14"/>
        <v>171</v>
      </c>
      <c r="AG7" s="2" t="b">
        <f t="shared" si="37"/>
        <v>1</v>
      </c>
      <c r="AH7" s="2" t="b">
        <f t="shared" si="38"/>
        <v>0</v>
      </c>
      <c r="AI7" s="2">
        <f t="shared" si="39"/>
        <v>171</v>
      </c>
      <c r="AJ7" s="2" t="str">
        <f t="shared" si="40"/>
        <v/>
      </c>
      <c r="AK7" s="2" t="b">
        <f t="shared" si="15"/>
        <v>0</v>
      </c>
      <c r="AL7" s="2" t="b">
        <f t="shared" si="16"/>
        <v>0</v>
      </c>
      <c r="AM7" s="2" t="b">
        <f t="shared" si="17"/>
        <v>1</v>
      </c>
      <c r="AN7" s="2" t="b">
        <f t="shared" si="18"/>
        <v>0</v>
      </c>
      <c r="AO7" s="2">
        <f t="shared" si="19"/>
        <v>6</v>
      </c>
      <c r="AP7" s="2" t="str">
        <f t="shared" si="20"/>
        <v/>
      </c>
      <c r="AQ7" s="2">
        <f t="shared" si="21"/>
        <v>165</v>
      </c>
      <c r="AR7" s="2" t="str">
        <f t="shared" si="22"/>
        <v/>
      </c>
      <c r="AS7" s="2" t="str">
        <f t="shared" si="23"/>
        <v/>
      </c>
      <c r="AT7" s="2" t="str">
        <f t="shared" si="24"/>
        <v/>
      </c>
      <c r="AU7" s="2">
        <f t="shared" si="25"/>
        <v>6</v>
      </c>
      <c r="AV7" s="2" t="str">
        <f t="shared" si="26"/>
        <v/>
      </c>
      <c r="AW7" s="2">
        <f t="shared" si="27"/>
        <v>165</v>
      </c>
      <c r="AX7" s="2" t="str">
        <f t="shared" si="28"/>
        <v/>
      </c>
      <c r="AY7" s="2" t="str">
        <f t="shared" si="29"/>
        <v/>
      </c>
      <c r="AZ7" s="2" t="str">
        <f t="shared" si="30"/>
        <v/>
      </c>
    </row>
    <row r="8" spans="2:52" outlineLevel="1" x14ac:dyDescent="0.25">
      <c r="B8" s="2">
        <v>7</v>
      </c>
      <c r="C8" s="2">
        <v>206</v>
      </c>
      <c r="E8" s="2" t="b">
        <f>ISPRIME(B8)</f>
        <v>1</v>
      </c>
      <c r="F8" s="2" t="b">
        <f>ISPRIME(C8)</f>
        <v>0</v>
      </c>
      <c r="G8" s="2">
        <f t="shared" si="31"/>
        <v>7</v>
      </c>
      <c r="H8" s="2" t="str">
        <f t="shared" si="32"/>
        <v/>
      </c>
      <c r="K8" s="2" t="b">
        <f t="shared" si="33"/>
        <v>0</v>
      </c>
      <c r="L8" s="2" t="b">
        <f t="shared" si="34"/>
        <v>1</v>
      </c>
      <c r="M8" s="2" t="b">
        <f t="shared" si="35"/>
        <v>0</v>
      </c>
      <c r="N8" s="2" t="b">
        <f t="shared" si="36"/>
        <v>0</v>
      </c>
      <c r="Q8" s="2" t="b">
        <f t="shared" si="0"/>
        <v>1</v>
      </c>
      <c r="R8" s="2" t="b">
        <f t="shared" si="1"/>
        <v>0</v>
      </c>
      <c r="S8" s="2" t="b">
        <f t="shared" si="2"/>
        <v>0</v>
      </c>
      <c r="T8" s="2" t="b">
        <f t="shared" si="3"/>
        <v>1</v>
      </c>
      <c r="U8" s="2">
        <f t="shared" si="4"/>
        <v>7</v>
      </c>
      <c r="V8" s="2" t="str">
        <f t="shared" si="5"/>
        <v/>
      </c>
      <c r="W8" s="2" t="str">
        <f t="shared" si="6"/>
        <v/>
      </c>
      <c r="X8" s="2">
        <f t="shared" si="7"/>
        <v>206</v>
      </c>
      <c r="Y8" s="2" t="b">
        <f t="shared" si="8"/>
        <v>0</v>
      </c>
      <c r="Z8" s="2" t="b">
        <f t="shared" si="9"/>
        <v>1</v>
      </c>
      <c r="AA8" s="2" t="b">
        <f t="shared" si="10"/>
        <v>0</v>
      </c>
      <c r="AB8" s="2" t="b">
        <f t="shared" si="11"/>
        <v>0</v>
      </c>
      <c r="AC8" s="2" t="b">
        <f t="shared" si="12"/>
        <v>0</v>
      </c>
      <c r="AD8" s="2" t="b">
        <f t="shared" si="13"/>
        <v>1</v>
      </c>
      <c r="AF8" s="2">
        <f t="shared" si="14"/>
        <v>213</v>
      </c>
      <c r="AG8" s="2" t="b">
        <f t="shared" si="37"/>
        <v>1</v>
      </c>
      <c r="AH8" s="2" t="b">
        <f t="shared" si="38"/>
        <v>0</v>
      </c>
      <c r="AI8" s="2">
        <f t="shared" si="39"/>
        <v>213</v>
      </c>
      <c r="AJ8" s="2" t="str">
        <f t="shared" si="40"/>
        <v/>
      </c>
      <c r="AK8" s="2" t="b">
        <f t="shared" si="15"/>
        <v>1</v>
      </c>
      <c r="AL8" s="2" t="b">
        <f t="shared" si="16"/>
        <v>0</v>
      </c>
      <c r="AM8" s="2" t="b">
        <f t="shared" si="17"/>
        <v>0</v>
      </c>
      <c r="AN8" s="2" t="b">
        <f t="shared" si="18"/>
        <v>0</v>
      </c>
      <c r="AO8" s="2">
        <f t="shared" si="19"/>
        <v>7</v>
      </c>
      <c r="AP8" s="2" t="str">
        <f t="shared" si="20"/>
        <v/>
      </c>
      <c r="AQ8" s="2">
        <f t="shared" si="21"/>
        <v>206</v>
      </c>
      <c r="AR8" s="2" t="str">
        <f t="shared" si="22"/>
        <v/>
      </c>
      <c r="AS8" s="2">
        <f t="shared" si="23"/>
        <v>7</v>
      </c>
      <c r="AT8" s="2" t="str">
        <f t="shared" si="24"/>
        <v/>
      </c>
      <c r="AU8" s="2" t="str">
        <f t="shared" si="25"/>
        <v/>
      </c>
      <c r="AV8" s="2" t="str">
        <f t="shared" si="26"/>
        <v/>
      </c>
      <c r="AW8" s="2" t="str">
        <f t="shared" si="27"/>
        <v/>
      </c>
      <c r="AX8" s="2" t="str">
        <f t="shared" si="28"/>
        <v/>
      </c>
      <c r="AY8" s="2">
        <f t="shared" si="29"/>
        <v>206</v>
      </c>
      <c r="AZ8" s="2" t="str">
        <f t="shared" si="30"/>
        <v/>
      </c>
    </row>
    <row r="9" spans="2:52" outlineLevel="1" x14ac:dyDescent="0.25">
      <c r="B9" s="2">
        <v>8</v>
      </c>
      <c r="C9" s="2">
        <v>75</v>
      </c>
      <c r="E9" s="2" t="b">
        <f>ISPRIME(B9)</f>
        <v>0</v>
      </c>
      <c r="F9" s="2" t="b">
        <f>ISPRIME(C9)</f>
        <v>0</v>
      </c>
      <c r="G9" s="2" t="str">
        <f t="shared" si="31"/>
        <v/>
      </c>
      <c r="H9" s="2" t="str">
        <f t="shared" si="32"/>
        <v/>
      </c>
      <c r="K9" s="2" t="b">
        <f t="shared" si="33"/>
        <v>0</v>
      </c>
      <c r="L9" s="2" t="b">
        <f t="shared" si="34"/>
        <v>0</v>
      </c>
      <c r="M9" s="2" t="b">
        <f t="shared" si="35"/>
        <v>0</v>
      </c>
      <c r="N9" s="2" t="b">
        <f t="shared" si="36"/>
        <v>1</v>
      </c>
      <c r="Q9" s="2" t="b">
        <f t="shared" si="0"/>
        <v>0</v>
      </c>
      <c r="R9" s="2" t="b">
        <f t="shared" si="1"/>
        <v>1</v>
      </c>
      <c r="S9" s="2" t="b">
        <f t="shared" si="2"/>
        <v>1</v>
      </c>
      <c r="T9" s="2" t="b">
        <f t="shared" si="3"/>
        <v>0</v>
      </c>
      <c r="U9" s="2" t="str">
        <f t="shared" si="4"/>
        <v/>
      </c>
      <c r="V9" s="2">
        <f t="shared" si="5"/>
        <v>8</v>
      </c>
      <c r="W9" s="2">
        <f t="shared" si="6"/>
        <v>75</v>
      </c>
      <c r="X9" s="2" t="str">
        <f t="shared" si="7"/>
        <v/>
      </c>
      <c r="Y9" s="2" t="b">
        <f t="shared" si="8"/>
        <v>0</v>
      </c>
      <c r="Z9" s="2" t="b">
        <f t="shared" si="9"/>
        <v>1</v>
      </c>
      <c r="AA9" s="2" t="b">
        <f t="shared" si="10"/>
        <v>0</v>
      </c>
      <c r="AB9" s="2" t="b">
        <f t="shared" si="11"/>
        <v>1</v>
      </c>
      <c r="AC9" s="2" t="b">
        <f t="shared" si="12"/>
        <v>0</v>
      </c>
      <c r="AD9" s="2" t="b">
        <f t="shared" si="13"/>
        <v>0</v>
      </c>
      <c r="AF9" s="2">
        <f t="shared" si="14"/>
        <v>83</v>
      </c>
      <c r="AG9" s="2" t="b">
        <f t="shared" si="37"/>
        <v>1</v>
      </c>
      <c r="AH9" s="2" t="b">
        <f t="shared" si="38"/>
        <v>0</v>
      </c>
      <c r="AI9" s="2">
        <f t="shared" si="39"/>
        <v>83</v>
      </c>
      <c r="AJ9" s="2" t="str">
        <f t="shared" si="40"/>
        <v/>
      </c>
      <c r="AK9" s="2" t="b">
        <f t="shared" si="15"/>
        <v>0</v>
      </c>
      <c r="AL9" s="2" t="b">
        <f t="shared" si="16"/>
        <v>0</v>
      </c>
      <c r="AM9" s="2" t="b">
        <f t="shared" si="17"/>
        <v>1</v>
      </c>
      <c r="AN9" s="2" t="b">
        <f t="shared" si="18"/>
        <v>0</v>
      </c>
      <c r="AO9" s="2">
        <f t="shared" si="19"/>
        <v>8</v>
      </c>
      <c r="AP9" s="2" t="str">
        <f t="shared" si="20"/>
        <v/>
      </c>
      <c r="AQ9" s="2">
        <f t="shared" si="21"/>
        <v>75</v>
      </c>
      <c r="AR9" s="2" t="str">
        <f t="shared" si="22"/>
        <v/>
      </c>
      <c r="AS9" s="2" t="str">
        <f t="shared" si="23"/>
        <v/>
      </c>
      <c r="AT9" s="2" t="str">
        <f t="shared" si="24"/>
        <v/>
      </c>
      <c r="AU9" s="2">
        <f t="shared" si="25"/>
        <v>8</v>
      </c>
      <c r="AV9" s="2" t="str">
        <f t="shared" si="26"/>
        <v/>
      </c>
      <c r="AW9" s="2">
        <f t="shared" si="27"/>
        <v>75</v>
      </c>
      <c r="AX9" s="2" t="str">
        <f t="shared" si="28"/>
        <v/>
      </c>
      <c r="AY9" s="2" t="str">
        <f t="shared" si="29"/>
        <v/>
      </c>
      <c r="AZ9" s="2" t="str">
        <f t="shared" si="30"/>
        <v/>
      </c>
    </row>
    <row r="10" spans="2:52" outlineLevel="1" x14ac:dyDescent="0.25">
      <c r="B10" s="2">
        <v>9</v>
      </c>
      <c r="C10" s="2">
        <v>129</v>
      </c>
      <c r="E10" s="2" t="b">
        <f>ISPRIME(B10)</f>
        <v>0</v>
      </c>
      <c r="F10" s="2" t="b">
        <f>ISPRIME(C10)</f>
        <v>0</v>
      </c>
      <c r="G10" s="2" t="str">
        <f t="shared" si="31"/>
        <v/>
      </c>
      <c r="H10" s="2" t="str">
        <f t="shared" si="32"/>
        <v/>
      </c>
      <c r="K10" s="2" t="b">
        <f t="shared" si="33"/>
        <v>0</v>
      </c>
      <c r="L10" s="2" t="b">
        <f t="shared" si="34"/>
        <v>0</v>
      </c>
      <c r="M10" s="2" t="b">
        <f t="shared" si="35"/>
        <v>0</v>
      </c>
      <c r="N10" s="2" t="b">
        <f t="shared" si="36"/>
        <v>1</v>
      </c>
      <c r="Q10" s="2" t="b">
        <f t="shared" si="0"/>
        <v>1</v>
      </c>
      <c r="R10" s="2" t="b">
        <f t="shared" si="1"/>
        <v>0</v>
      </c>
      <c r="S10" s="2" t="b">
        <f t="shared" si="2"/>
        <v>1</v>
      </c>
      <c r="T10" s="2" t="b">
        <f t="shared" si="3"/>
        <v>0</v>
      </c>
      <c r="U10" s="2">
        <f t="shared" si="4"/>
        <v>9</v>
      </c>
      <c r="V10" s="2" t="str">
        <f t="shared" si="5"/>
        <v/>
      </c>
      <c r="W10" s="2">
        <f t="shared" si="6"/>
        <v>129</v>
      </c>
      <c r="X10" s="2" t="str">
        <f t="shared" si="7"/>
        <v/>
      </c>
      <c r="Y10" s="2" t="b">
        <f t="shared" si="8"/>
        <v>1</v>
      </c>
      <c r="Z10" s="2" t="b">
        <f t="shared" si="9"/>
        <v>0</v>
      </c>
      <c r="AA10" s="2" t="b">
        <f t="shared" si="10"/>
        <v>1</v>
      </c>
      <c r="AB10" s="2" t="b">
        <f t="shared" si="11"/>
        <v>0</v>
      </c>
      <c r="AC10" s="2" t="b">
        <f t="shared" si="12"/>
        <v>0</v>
      </c>
      <c r="AD10" s="2" t="b">
        <f t="shared" si="13"/>
        <v>0</v>
      </c>
      <c r="AF10" s="2">
        <f t="shared" si="14"/>
        <v>138</v>
      </c>
      <c r="AG10" s="2" t="b">
        <f t="shared" si="37"/>
        <v>0</v>
      </c>
      <c r="AH10" s="2" t="b">
        <f t="shared" si="38"/>
        <v>1</v>
      </c>
      <c r="AI10" s="2" t="str">
        <f t="shared" si="39"/>
        <v/>
      </c>
      <c r="AJ10" s="2">
        <f t="shared" si="40"/>
        <v>138</v>
      </c>
      <c r="AK10" s="2" t="b">
        <f t="shared" si="15"/>
        <v>0</v>
      </c>
      <c r="AL10" s="2" t="b">
        <f t="shared" si="16"/>
        <v>1</v>
      </c>
      <c r="AM10" s="2" t="b">
        <f t="shared" si="17"/>
        <v>0</v>
      </c>
      <c r="AN10" s="2" t="b">
        <f t="shared" si="18"/>
        <v>0</v>
      </c>
      <c r="AO10" s="2" t="str">
        <f t="shared" si="19"/>
        <v/>
      </c>
      <c r="AP10" s="2">
        <f t="shared" si="20"/>
        <v>9</v>
      </c>
      <c r="AQ10" s="2" t="str">
        <f t="shared" si="21"/>
        <v/>
      </c>
      <c r="AR10" s="2">
        <f t="shared" si="22"/>
        <v>129</v>
      </c>
      <c r="AS10" s="2" t="str">
        <f t="shared" si="23"/>
        <v/>
      </c>
      <c r="AT10" s="2">
        <f t="shared" si="24"/>
        <v>9</v>
      </c>
      <c r="AU10" s="2" t="str">
        <f t="shared" si="25"/>
        <v/>
      </c>
      <c r="AV10" s="2" t="str">
        <f t="shared" si="26"/>
        <v/>
      </c>
      <c r="AW10" s="2" t="str">
        <f t="shared" si="27"/>
        <v/>
      </c>
      <c r="AX10" s="2">
        <f t="shared" si="28"/>
        <v>129</v>
      </c>
      <c r="AY10" s="2" t="str">
        <f t="shared" si="29"/>
        <v/>
      </c>
      <c r="AZ10" s="2" t="str">
        <f t="shared" si="30"/>
        <v/>
      </c>
    </row>
    <row r="11" spans="2:52" hidden="1" outlineLevel="2" x14ac:dyDescent="0.25">
      <c r="B11" s="2">
        <v>10</v>
      </c>
      <c r="C11" s="2">
        <v>109</v>
      </c>
      <c r="E11" s="2" t="b">
        <f>ISPRIME(B11)</f>
        <v>0</v>
      </c>
      <c r="F11" s="2" t="b">
        <f>ISPRIME(C11)</f>
        <v>1</v>
      </c>
      <c r="G11" s="2" t="str">
        <f t="shared" si="31"/>
        <v/>
      </c>
      <c r="H11" s="2">
        <f t="shared" si="32"/>
        <v>109</v>
      </c>
      <c r="K11" s="2" t="b">
        <f t="shared" si="33"/>
        <v>0</v>
      </c>
      <c r="L11" s="2" t="b">
        <f t="shared" si="34"/>
        <v>0</v>
      </c>
      <c r="M11" s="2" t="b">
        <f t="shared" si="35"/>
        <v>1</v>
      </c>
      <c r="N11" s="2" t="b">
        <f t="shared" si="36"/>
        <v>0</v>
      </c>
      <c r="Q11" s="2" t="b">
        <f t="shared" si="0"/>
        <v>0</v>
      </c>
      <c r="R11" s="2" t="b">
        <f t="shared" si="1"/>
        <v>1</v>
      </c>
      <c r="S11" s="2" t="b">
        <f t="shared" si="2"/>
        <v>1</v>
      </c>
      <c r="T11" s="2" t="b">
        <f t="shared" si="3"/>
        <v>0</v>
      </c>
      <c r="U11" s="2" t="str">
        <f t="shared" si="4"/>
        <v/>
      </c>
      <c r="V11" s="2">
        <f t="shared" si="5"/>
        <v>10</v>
      </c>
      <c r="W11" s="2">
        <f t="shared" si="6"/>
        <v>109</v>
      </c>
      <c r="X11" s="2" t="str">
        <f t="shared" si="7"/>
        <v/>
      </c>
      <c r="Y11" s="2" t="b">
        <f t="shared" si="8"/>
        <v>0</v>
      </c>
      <c r="Z11" s="2" t="b">
        <f t="shared" si="9"/>
        <v>1</v>
      </c>
      <c r="AA11" s="2" t="b">
        <f t="shared" si="10"/>
        <v>0</v>
      </c>
      <c r="AB11" s="2" t="b">
        <f t="shared" si="11"/>
        <v>1</v>
      </c>
      <c r="AC11" s="2" t="b">
        <f t="shared" si="12"/>
        <v>0</v>
      </c>
      <c r="AD11" s="2" t="b">
        <f t="shared" si="13"/>
        <v>0</v>
      </c>
      <c r="AF11" s="2">
        <f t="shared" si="14"/>
        <v>119</v>
      </c>
      <c r="AG11" s="2" t="b">
        <f t="shared" si="37"/>
        <v>1</v>
      </c>
      <c r="AH11" s="2" t="b">
        <f t="shared" si="38"/>
        <v>0</v>
      </c>
      <c r="AI11" s="2">
        <f t="shared" si="39"/>
        <v>119</v>
      </c>
      <c r="AJ11" s="2" t="str">
        <f t="shared" si="40"/>
        <v/>
      </c>
      <c r="AK11" s="2" t="b">
        <f t="shared" si="15"/>
        <v>0</v>
      </c>
      <c r="AL11" s="2" t="b">
        <f t="shared" si="16"/>
        <v>0</v>
      </c>
      <c r="AM11" s="2" t="b">
        <f t="shared" si="17"/>
        <v>1</v>
      </c>
      <c r="AN11" s="2" t="b">
        <f t="shared" si="18"/>
        <v>0</v>
      </c>
      <c r="AO11" s="2">
        <f t="shared" si="19"/>
        <v>10</v>
      </c>
      <c r="AP11" s="2" t="str">
        <f t="shared" si="20"/>
        <v/>
      </c>
      <c r="AQ11" s="2">
        <f t="shared" si="21"/>
        <v>109</v>
      </c>
      <c r="AR11" s="2" t="str">
        <f t="shared" si="22"/>
        <v/>
      </c>
      <c r="AS11" s="2" t="str">
        <f t="shared" si="23"/>
        <v/>
      </c>
      <c r="AT11" s="2" t="str">
        <f t="shared" si="24"/>
        <v/>
      </c>
      <c r="AU11" s="2">
        <f t="shared" si="25"/>
        <v>10</v>
      </c>
      <c r="AV11" s="2" t="str">
        <f t="shared" si="26"/>
        <v/>
      </c>
      <c r="AW11" s="2">
        <f t="shared" si="27"/>
        <v>109</v>
      </c>
      <c r="AX11" s="2" t="str">
        <f t="shared" si="28"/>
        <v/>
      </c>
      <c r="AY11" s="2" t="str">
        <f t="shared" si="29"/>
        <v/>
      </c>
      <c r="AZ11" s="2" t="str">
        <f t="shared" si="30"/>
        <v/>
      </c>
    </row>
    <row r="12" spans="2:52" hidden="1" outlineLevel="2" x14ac:dyDescent="0.25">
      <c r="B12" s="2">
        <v>11</v>
      </c>
      <c r="C12" s="2">
        <v>123</v>
      </c>
      <c r="E12" s="2" t="b">
        <f>ISPRIME(B12)</f>
        <v>1</v>
      </c>
      <c r="F12" s="2" t="b">
        <f>ISPRIME(C12)</f>
        <v>0</v>
      </c>
      <c r="G12" s="2">
        <f t="shared" si="31"/>
        <v>11</v>
      </c>
      <c r="H12" s="2" t="str">
        <f t="shared" si="32"/>
        <v/>
      </c>
      <c r="K12" s="2" t="b">
        <f t="shared" si="33"/>
        <v>0</v>
      </c>
      <c r="L12" s="2" t="b">
        <f t="shared" si="34"/>
        <v>1</v>
      </c>
      <c r="M12" s="2" t="b">
        <f t="shared" si="35"/>
        <v>0</v>
      </c>
      <c r="N12" s="2" t="b">
        <f t="shared" si="36"/>
        <v>0</v>
      </c>
      <c r="Q12" s="2" t="b">
        <f t="shared" si="0"/>
        <v>1</v>
      </c>
      <c r="R12" s="2" t="b">
        <f t="shared" si="1"/>
        <v>0</v>
      </c>
      <c r="S12" s="2" t="b">
        <f t="shared" si="2"/>
        <v>1</v>
      </c>
      <c r="T12" s="2" t="b">
        <f t="shared" si="3"/>
        <v>0</v>
      </c>
      <c r="U12" s="2">
        <f t="shared" si="4"/>
        <v>11</v>
      </c>
      <c r="V12" s="2" t="str">
        <f t="shared" si="5"/>
        <v/>
      </c>
      <c r="W12" s="2">
        <f t="shared" si="6"/>
        <v>123</v>
      </c>
      <c r="X12" s="2" t="str">
        <f t="shared" si="7"/>
        <v/>
      </c>
      <c r="Y12" s="2" t="b">
        <f t="shared" si="8"/>
        <v>1</v>
      </c>
      <c r="Z12" s="2" t="b">
        <f t="shared" si="9"/>
        <v>0</v>
      </c>
      <c r="AA12" s="2" t="b">
        <f t="shared" si="10"/>
        <v>1</v>
      </c>
      <c r="AB12" s="2" t="b">
        <f t="shared" si="11"/>
        <v>0</v>
      </c>
      <c r="AC12" s="2" t="b">
        <f t="shared" si="12"/>
        <v>0</v>
      </c>
      <c r="AD12" s="2" t="b">
        <f t="shared" si="13"/>
        <v>0</v>
      </c>
      <c r="AF12" s="2">
        <f t="shared" si="14"/>
        <v>134</v>
      </c>
      <c r="AG12" s="2" t="b">
        <f t="shared" si="37"/>
        <v>0</v>
      </c>
      <c r="AH12" s="2" t="b">
        <f t="shared" si="38"/>
        <v>1</v>
      </c>
      <c r="AI12" s="2" t="str">
        <f t="shared" si="39"/>
        <v/>
      </c>
      <c r="AJ12" s="2">
        <f t="shared" si="40"/>
        <v>134</v>
      </c>
      <c r="AK12" s="2" t="b">
        <f t="shared" si="15"/>
        <v>0</v>
      </c>
      <c r="AL12" s="2" t="b">
        <f t="shared" si="16"/>
        <v>1</v>
      </c>
      <c r="AM12" s="2" t="b">
        <f t="shared" si="17"/>
        <v>0</v>
      </c>
      <c r="AN12" s="2" t="b">
        <f t="shared" si="18"/>
        <v>0</v>
      </c>
      <c r="AO12" s="2" t="str">
        <f t="shared" si="19"/>
        <v/>
      </c>
      <c r="AP12" s="2">
        <f t="shared" si="20"/>
        <v>11</v>
      </c>
      <c r="AQ12" s="2" t="str">
        <f t="shared" si="21"/>
        <v/>
      </c>
      <c r="AR12" s="2">
        <f t="shared" si="22"/>
        <v>123</v>
      </c>
      <c r="AS12" s="2" t="str">
        <f t="shared" si="23"/>
        <v/>
      </c>
      <c r="AT12" s="2">
        <f t="shared" si="24"/>
        <v>11</v>
      </c>
      <c r="AU12" s="2" t="str">
        <f t="shared" si="25"/>
        <v/>
      </c>
      <c r="AV12" s="2" t="str">
        <f t="shared" si="26"/>
        <v/>
      </c>
      <c r="AW12" s="2" t="str">
        <f t="shared" si="27"/>
        <v/>
      </c>
      <c r="AX12" s="2">
        <f t="shared" si="28"/>
        <v>123</v>
      </c>
      <c r="AY12" s="2" t="str">
        <f t="shared" si="29"/>
        <v/>
      </c>
      <c r="AZ12" s="2" t="str">
        <f t="shared" si="30"/>
        <v/>
      </c>
    </row>
    <row r="13" spans="2:52" hidden="1" outlineLevel="2" x14ac:dyDescent="0.25">
      <c r="B13" s="2">
        <v>12</v>
      </c>
      <c r="C13" s="2">
        <v>111</v>
      </c>
      <c r="E13" s="2" t="b">
        <f>ISPRIME(B13)</f>
        <v>0</v>
      </c>
      <c r="F13" s="2" t="b">
        <f>ISPRIME(C13)</f>
        <v>0</v>
      </c>
      <c r="G13" s="2" t="str">
        <f t="shared" si="31"/>
        <v/>
      </c>
      <c r="H13" s="2" t="str">
        <f t="shared" si="32"/>
        <v/>
      </c>
      <c r="K13" s="2" t="b">
        <f t="shared" si="33"/>
        <v>0</v>
      </c>
      <c r="L13" s="2" t="b">
        <f t="shared" si="34"/>
        <v>0</v>
      </c>
      <c r="M13" s="2" t="b">
        <f t="shared" si="35"/>
        <v>0</v>
      </c>
      <c r="N13" s="2" t="b">
        <f t="shared" si="36"/>
        <v>1</v>
      </c>
      <c r="Q13" s="2" t="b">
        <f t="shared" si="0"/>
        <v>0</v>
      </c>
      <c r="R13" s="2" t="b">
        <f t="shared" si="1"/>
        <v>1</v>
      </c>
      <c r="S13" s="2" t="b">
        <f t="shared" si="2"/>
        <v>1</v>
      </c>
      <c r="T13" s="2" t="b">
        <f t="shared" si="3"/>
        <v>0</v>
      </c>
      <c r="U13" s="2" t="str">
        <f t="shared" si="4"/>
        <v/>
      </c>
      <c r="V13" s="2">
        <f t="shared" si="5"/>
        <v>12</v>
      </c>
      <c r="W13" s="2">
        <f t="shared" si="6"/>
        <v>111</v>
      </c>
      <c r="X13" s="2" t="str">
        <f t="shared" si="7"/>
        <v/>
      </c>
      <c r="Y13" s="2" t="b">
        <f t="shared" si="8"/>
        <v>0</v>
      </c>
      <c r="Z13" s="2" t="b">
        <f t="shared" si="9"/>
        <v>1</v>
      </c>
      <c r="AA13" s="2" t="b">
        <f t="shared" si="10"/>
        <v>0</v>
      </c>
      <c r="AB13" s="2" t="b">
        <f t="shared" si="11"/>
        <v>1</v>
      </c>
      <c r="AC13" s="2" t="b">
        <f t="shared" si="12"/>
        <v>0</v>
      </c>
      <c r="AD13" s="2" t="b">
        <f t="shared" si="13"/>
        <v>0</v>
      </c>
      <c r="AF13" s="2">
        <f t="shared" si="14"/>
        <v>123</v>
      </c>
      <c r="AG13" s="2" t="b">
        <f t="shared" si="37"/>
        <v>1</v>
      </c>
      <c r="AH13" s="2" t="b">
        <f t="shared" si="38"/>
        <v>0</v>
      </c>
      <c r="AI13" s="2">
        <f t="shared" si="39"/>
        <v>123</v>
      </c>
      <c r="AJ13" s="2" t="str">
        <f t="shared" si="40"/>
        <v/>
      </c>
      <c r="AK13" s="2" t="b">
        <f t="shared" si="15"/>
        <v>0</v>
      </c>
      <c r="AL13" s="2" t="b">
        <f t="shared" si="16"/>
        <v>0</v>
      </c>
      <c r="AM13" s="2" t="b">
        <f t="shared" si="17"/>
        <v>1</v>
      </c>
      <c r="AN13" s="2" t="b">
        <f t="shared" si="18"/>
        <v>0</v>
      </c>
      <c r="AO13" s="2">
        <f t="shared" si="19"/>
        <v>12</v>
      </c>
      <c r="AP13" s="2" t="str">
        <f t="shared" si="20"/>
        <v/>
      </c>
      <c r="AQ13" s="2">
        <f t="shared" si="21"/>
        <v>111</v>
      </c>
      <c r="AR13" s="2" t="str">
        <f t="shared" si="22"/>
        <v/>
      </c>
      <c r="AS13" s="2" t="str">
        <f t="shared" si="23"/>
        <v/>
      </c>
      <c r="AT13" s="2" t="str">
        <f t="shared" si="24"/>
        <v/>
      </c>
      <c r="AU13" s="2">
        <f t="shared" si="25"/>
        <v>12</v>
      </c>
      <c r="AV13" s="2" t="str">
        <f t="shared" si="26"/>
        <v/>
      </c>
      <c r="AW13" s="2">
        <f t="shared" si="27"/>
        <v>111</v>
      </c>
      <c r="AX13" s="2" t="str">
        <f t="shared" si="28"/>
        <v/>
      </c>
      <c r="AY13" s="2" t="str">
        <f t="shared" si="29"/>
        <v/>
      </c>
      <c r="AZ13" s="2" t="str">
        <f t="shared" si="30"/>
        <v/>
      </c>
    </row>
    <row r="14" spans="2:52" hidden="1" outlineLevel="2" x14ac:dyDescent="0.25">
      <c r="B14" s="2">
        <v>13</v>
      </c>
      <c r="C14" s="2">
        <v>43</v>
      </c>
      <c r="E14" s="2" t="b">
        <f>ISPRIME(B14)</f>
        <v>1</v>
      </c>
      <c r="F14" s="2" t="b">
        <f>ISPRIME(C14)</f>
        <v>1</v>
      </c>
      <c r="G14" s="2">
        <f t="shared" si="31"/>
        <v>13</v>
      </c>
      <c r="H14" s="2">
        <f t="shared" si="32"/>
        <v>43</v>
      </c>
      <c r="K14" s="2" t="b">
        <f t="shared" si="33"/>
        <v>1</v>
      </c>
      <c r="L14" s="2" t="b">
        <f t="shared" si="34"/>
        <v>0</v>
      </c>
      <c r="M14" s="2" t="b">
        <f t="shared" si="35"/>
        <v>0</v>
      </c>
      <c r="N14" s="2" t="b">
        <f t="shared" si="36"/>
        <v>0</v>
      </c>
      <c r="Q14" s="2" t="b">
        <f t="shared" si="0"/>
        <v>1</v>
      </c>
      <c r="R14" s="2" t="b">
        <f t="shared" si="1"/>
        <v>0</v>
      </c>
      <c r="S14" s="2" t="b">
        <f t="shared" si="2"/>
        <v>1</v>
      </c>
      <c r="T14" s="2" t="b">
        <f t="shared" si="3"/>
        <v>0</v>
      </c>
      <c r="U14" s="2">
        <f t="shared" si="4"/>
        <v>13</v>
      </c>
      <c r="V14" s="2" t="str">
        <f t="shared" si="5"/>
        <v/>
      </c>
      <c r="W14" s="2">
        <f t="shared" si="6"/>
        <v>43</v>
      </c>
      <c r="X14" s="2" t="str">
        <f t="shared" si="7"/>
        <v/>
      </c>
      <c r="Y14" s="2" t="b">
        <f t="shared" si="8"/>
        <v>1</v>
      </c>
      <c r="Z14" s="2" t="b">
        <f t="shared" si="9"/>
        <v>0</v>
      </c>
      <c r="AA14" s="2" t="b">
        <f t="shared" si="10"/>
        <v>1</v>
      </c>
      <c r="AB14" s="2" t="b">
        <f t="shared" si="11"/>
        <v>0</v>
      </c>
      <c r="AC14" s="2" t="b">
        <f t="shared" si="12"/>
        <v>0</v>
      </c>
      <c r="AD14" s="2" t="b">
        <f t="shared" si="13"/>
        <v>0</v>
      </c>
      <c r="AF14" s="2">
        <f t="shared" si="14"/>
        <v>56</v>
      </c>
      <c r="AG14" s="2" t="b">
        <f t="shared" si="37"/>
        <v>0</v>
      </c>
      <c r="AH14" s="2" t="b">
        <f t="shared" si="38"/>
        <v>1</v>
      </c>
      <c r="AI14" s="2" t="str">
        <f t="shared" si="39"/>
        <v/>
      </c>
      <c r="AJ14" s="2">
        <f t="shared" si="40"/>
        <v>56</v>
      </c>
      <c r="AK14" s="2" t="b">
        <f t="shared" si="15"/>
        <v>0</v>
      </c>
      <c r="AL14" s="2" t="b">
        <f t="shared" si="16"/>
        <v>1</v>
      </c>
      <c r="AM14" s="2" t="b">
        <f t="shared" si="17"/>
        <v>0</v>
      </c>
      <c r="AN14" s="2" t="b">
        <f t="shared" si="18"/>
        <v>0</v>
      </c>
      <c r="AO14" s="2" t="str">
        <f t="shared" si="19"/>
        <v/>
      </c>
      <c r="AP14" s="2">
        <f t="shared" si="20"/>
        <v>13</v>
      </c>
      <c r="AQ14" s="2" t="str">
        <f t="shared" si="21"/>
        <v/>
      </c>
      <c r="AR14" s="2">
        <f t="shared" si="22"/>
        <v>43</v>
      </c>
      <c r="AS14" s="2" t="str">
        <f t="shared" si="23"/>
        <v/>
      </c>
      <c r="AT14" s="2">
        <f t="shared" si="24"/>
        <v>13</v>
      </c>
      <c r="AU14" s="2" t="str">
        <f t="shared" si="25"/>
        <v/>
      </c>
      <c r="AV14" s="2" t="str">
        <f t="shared" si="26"/>
        <v/>
      </c>
      <c r="AW14" s="2" t="str">
        <f t="shared" si="27"/>
        <v/>
      </c>
      <c r="AX14" s="2">
        <f t="shared" si="28"/>
        <v>43</v>
      </c>
      <c r="AY14" s="2" t="str">
        <f t="shared" si="29"/>
        <v/>
      </c>
      <c r="AZ14" s="2" t="str">
        <f t="shared" si="30"/>
        <v/>
      </c>
    </row>
    <row r="15" spans="2:52" hidden="1" outlineLevel="2" x14ac:dyDescent="0.25">
      <c r="B15" s="2">
        <v>14</v>
      </c>
      <c r="C15" s="2">
        <v>52</v>
      </c>
      <c r="E15" s="2" t="b">
        <f>ISPRIME(B15)</f>
        <v>0</v>
      </c>
      <c r="F15" s="2" t="b">
        <f>ISPRIME(C15)</f>
        <v>0</v>
      </c>
      <c r="G15" s="2" t="str">
        <f t="shared" si="31"/>
        <v/>
      </c>
      <c r="H15" s="2" t="str">
        <f t="shared" si="32"/>
        <v/>
      </c>
      <c r="K15" s="2" t="b">
        <f t="shared" si="33"/>
        <v>0</v>
      </c>
      <c r="L15" s="2" t="b">
        <f t="shared" si="34"/>
        <v>0</v>
      </c>
      <c r="M15" s="2" t="b">
        <f t="shared" si="35"/>
        <v>0</v>
      </c>
      <c r="N15" s="2" t="b">
        <f t="shared" si="36"/>
        <v>1</v>
      </c>
      <c r="Q15" s="2" t="b">
        <f t="shared" si="0"/>
        <v>0</v>
      </c>
      <c r="R15" s="2" t="b">
        <f t="shared" si="1"/>
        <v>1</v>
      </c>
      <c r="S15" s="2" t="b">
        <f t="shared" si="2"/>
        <v>0</v>
      </c>
      <c r="T15" s="2" t="b">
        <f t="shared" si="3"/>
        <v>1</v>
      </c>
      <c r="U15" s="2" t="str">
        <f t="shared" si="4"/>
        <v/>
      </c>
      <c r="V15" s="2">
        <f t="shared" si="5"/>
        <v>14</v>
      </c>
      <c r="W15" s="2" t="str">
        <f t="shared" si="6"/>
        <v/>
      </c>
      <c r="X15" s="2">
        <f t="shared" si="7"/>
        <v>52</v>
      </c>
      <c r="Y15" s="2" t="b">
        <f t="shared" si="8"/>
        <v>1</v>
      </c>
      <c r="Z15" s="2" t="b">
        <f t="shared" si="9"/>
        <v>0</v>
      </c>
      <c r="AA15" s="2" t="b">
        <f t="shared" si="10"/>
        <v>0</v>
      </c>
      <c r="AB15" s="2" t="b">
        <f t="shared" si="11"/>
        <v>0</v>
      </c>
      <c r="AC15" s="2" t="b">
        <f t="shared" si="12"/>
        <v>1</v>
      </c>
      <c r="AD15" s="2" t="b">
        <f t="shared" si="13"/>
        <v>0</v>
      </c>
      <c r="AF15" s="2">
        <f t="shared" si="14"/>
        <v>66</v>
      </c>
      <c r="AG15" s="2" t="b">
        <f t="shared" si="37"/>
        <v>0</v>
      </c>
      <c r="AH15" s="2" t="b">
        <f t="shared" si="38"/>
        <v>1</v>
      </c>
      <c r="AI15" s="2" t="str">
        <f t="shared" si="39"/>
        <v/>
      </c>
      <c r="AJ15" s="2">
        <f t="shared" si="40"/>
        <v>66</v>
      </c>
      <c r="AK15" s="2" t="b">
        <f t="shared" si="15"/>
        <v>0</v>
      </c>
      <c r="AL15" s="2" t="b">
        <f t="shared" si="16"/>
        <v>0</v>
      </c>
      <c r="AM15" s="2" t="b">
        <f t="shared" si="17"/>
        <v>0</v>
      </c>
      <c r="AN15" s="2" t="b">
        <f t="shared" si="18"/>
        <v>1</v>
      </c>
      <c r="AO15" s="2" t="str">
        <f t="shared" si="19"/>
        <v/>
      </c>
      <c r="AP15" s="2">
        <f t="shared" si="20"/>
        <v>14</v>
      </c>
      <c r="AQ15" s="2" t="str">
        <f t="shared" si="21"/>
        <v/>
      </c>
      <c r="AR15" s="2">
        <f t="shared" si="22"/>
        <v>52</v>
      </c>
      <c r="AS15" s="2" t="str">
        <f t="shared" si="23"/>
        <v/>
      </c>
      <c r="AT15" s="2" t="str">
        <f t="shared" si="24"/>
        <v/>
      </c>
      <c r="AU15" s="2" t="str">
        <f t="shared" si="25"/>
        <v/>
      </c>
      <c r="AV15" s="2">
        <f t="shared" si="26"/>
        <v>14</v>
      </c>
      <c r="AW15" s="2" t="str">
        <f t="shared" si="27"/>
        <v/>
      </c>
      <c r="AX15" s="2" t="str">
        <f t="shared" si="28"/>
        <v/>
      </c>
      <c r="AY15" s="2" t="str">
        <f t="shared" si="29"/>
        <v/>
      </c>
      <c r="AZ15" s="2">
        <f t="shared" si="30"/>
        <v>52</v>
      </c>
    </row>
    <row r="16" spans="2:52" hidden="1" outlineLevel="2" x14ac:dyDescent="0.25">
      <c r="B16" s="2">
        <v>15</v>
      </c>
      <c r="C16" s="2">
        <v>99</v>
      </c>
      <c r="E16" s="2" t="b">
        <f>ISPRIME(B16)</f>
        <v>0</v>
      </c>
      <c r="F16" s="2" t="b">
        <f>ISPRIME(C16)</f>
        <v>0</v>
      </c>
      <c r="G16" s="2" t="str">
        <f t="shared" si="31"/>
        <v/>
      </c>
      <c r="H16" s="2" t="str">
        <f t="shared" si="32"/>
        <v/>
      </c>
      <c r="K16" s="2" t="b">
        <f t="shared" si="33"/>
        <v>0</v>
      </c>
      <c r="L16" s="2" t="b">
        <f t="shared" si="34"/>
        <v>0</v>
      </c>
      <c r="M16" s="2" t="b">
        <f t="shared" si="35"/>
        <v>0</v>
      </c>
      <c r="N16" s="2" t="b">
        <f t="shared" si="36"/>
        <v>1</v>
      </c>
      <c r="Q16" s="2" t="b">
        <f t="shared" si="0"/>
        <v>1</v>
      </c>
      <c r="R16" s="2" t="b">
        <f t="shared" si="1"/>
        <v>0</v>
      </c>
      <c r="S16" s="2" t="b">
        <f t="shared" si="2"/>
        <v>1</v>
      </c>
      <c r="T16" s="2" t="b">
        <f t="shared" si="3"/>
        <v>0</v>
      </c>
      <c r="U16" s="2">
        <f t="shared" si="4"/>
        <v>15</v>
      </c>
      <c r="V16" s="2" t="str">
        <f t="shared" si="5"/>
        <v/>
      </c>
      <c r="W16" s="2">
        <f t="shared" si="6"/>
        <v>99</v>
      </c>
      <c r="X16" s="2" t="str">
        <f t="shared" si="7"/>
        <v/>
      </c>
      <c r="Y16" s="2" t="b">
        <f t="shared" si="8"/>
        <v>1</v>
      </c>
      <c r="Z16" s="2" t="b">
        <f t="shared" si="9"/>
        <v>0</v>
      </c>
      <c r="AA16" s="2" t="b">
        <f t="shared" si="10"/>
        <v>1</v>
      </c>
      <c r="AB16" s="2" t="b">
        <f t="shared" si="11"/>
        <v>0</v>
      </c>
      <c r="AC16" s="2" t="b">
        <f t="shared" si="12"/>
        <v>0</v>
      </c>
      <c r="AD16" s="2" t="b">
        <f t="shared" si="13"/>
        <v>0</v>
      </c>
      <c r="AF16" s="2">
        <f t="shared" si="14"/>
        <v>114</v>
      </c>
      <c r="AG16" s="2" t="b">
        <f t="shared" si="37"/>
        <v>0</v>
      </c>
      <c r="AH16" s="2" t="b">
        <f t="shared" si="38"/>
        <v>1</v>
      </c>
      <c r="AI16" s="2" t="str">
        <f t="shared" si="39"/>
        <v/>
      </c>
      <c r="AJ16" s="2">
        <f t="shared" si="40"/>
        <v>114</v>
      </c>
      <c r="AK16" s="2" t="b">
        <f t="shared" si="15"/>
        <v>0</v>
      </c>
      <c r="AL16" s="2" t="b">
        <f t="shared" si="16"/>
        <v>1</v>
      </c>
      <c r="AM16" s="2" t="b">
        <f t="shared" si="17"/>
        <v>0</v>
      </c>
      <c r="AN16" s="2" t="b">
        <f t="shared" si="18"/>
        <v>0</v>
      </c>
      <c r="AO16" s="2" t="str">
        <f t="shared" si="19"/>
        <v/>
      </c>
      <c r="AP16" s="2">
        <f t="shared" si="20"/>
        <v>15</v>
      </c>
      <c r="AQ16" s="2" t="str">
        <f t="shared" si="21"/>
        <v/>
      </c>
      <c r="AR16" s="2">
        <f t="shared" si="22"/>
        <v>99</v>
      </c>
      <c r="AS16" s="2" t="str">
        <f t="shared" si="23"/>
        <v/>
      </c>
      <c r="AT16" s="2">
        <f t="shared" si="24"/>
        <v>15</v>
      </c>
      <c r="AU16" s="2" t="str">
        <f t="shared" si="25"/>
        <v/>
      </c>
      <c r="AV16" s="2" t="str">
        <f t="shared" si="26"/>
        <v/>
      </c>
      <c r="AW16" s="2" t="str">
        <f t="shared" si="27"/>
        <v/>
      </c>
      <c r="AX16" s="2">
        <f t="shared" si="28"/>
        <v>99</v>
      </c>
      <c r="AY16" s="2" t="str">
        <f t="shared" si="29"/>
        <v/>
      </c>
      <c r="AZ16" s="2" t="str">
        <f t="shared" si="30"/>
        <v/>
      </c>
    </row>
    <row r="17" spans="2:52" hidden="1" outlineLevel="2" x14ac:dyDescent="0.25">
      <c r="B17" s="2">
        <v>16</v>
      </c>
      <c r="C17" s="2">
        <v>128</v>
      </c>
      <c r="E17" s="2" t="b">
        <f>ISPRIME(B17)</f>
        <v>0</v>
      </c>
      <c r="F17" s="2" t="b">
        <f>ISPRIME(C17)</f>
        <v>0</v>
      </c>
      <c r="G17" s="2" t="str">
        <f t="shared" si="31"/>
        <v/>
      </c>
      <c r="H17" s="2" t="str">
        <f t="shared" si="32"/>
        <v/>
      </c>
      <c r="K17" s="2" t="b">
        <f t="shared" si="33"/>
        <v>0</v>
      </c>
      <c r="L17" s="2" t="b">
        <f t="shared" si="34"/>
        <v>0</v>
      </c>
      <c r="M17" s="2" t="b">
        <f t="shared" si="35"/>
        <v>0</v>
      </c>
      <c r="N17" s="2" t="b">
        <f t="shared" si="36"/>
        <v>1</v>
      </c>
      <c r="Q17" s="2" t="b">
        <f t="shared" si="0"/>
        <v>0</v>
      </c>
      <c r="R17" s="2" t="b">
        <f t="shared" si="1"/>
        <v>1</v>
      </c>
      <c r="S17" s="2" t="b">
        <f t="shared" si="2"/>
        <v>0</v>
      </c>
      <c r="T17" s="2" t="b">
        <f t="shared" si="3"/>
        <v>1</v>
      </c>
      <c r="U17" s="2" t="str">
        <f t="shared" si="4"/>
        <v/>
      </c>
      <c r="V17" s="2">
        <f t="shared" si="5"/>
        <v>16</v>
      </c>
      <c r="W17" s="2" t="str">
        <f t="shared" si="6"/>
        <v/>
      </c>
      <c r="X17" s="2">
        <f t="shared" si="7"/>
        <v>128</v>
      </c>
      <c r="Y17" s="2" t="b">
        <f t="shared" si="8"/>
        <v>1</v>
      </c>
      <c r="Z17" s="2" t="b">
        <f t="shared" si="9"/>
        <v>0</v>
      </c>
      <c r="AA17" s="2" t="b">
        <f t="shared" si="10"/>
        <v>0</v>
      </c>
      <c r="AB17" s="2" t="b">
        <f t="shared" si="11"/>
        <v>0</v>
      </c>
      <c r="AC17" s="2" t="b">
        <f t="shared" si="12"/>
        <v>1</v>
      </c>
      <c r="AD17" s="2" t="b">
        <f t="shared" si="13"/>
        <v>0</v>
      </c>
      <c r="AF17" s="2">
        <f t="shared" si="14"/>
        <v>144</v>
      </c>
      <c r="AG17" s="2" t="b">
        <f t="shared" si="37"/>
        <v>0</v>
      </c>
      <c r="AH17" s="2" t="b">
        <f t="shared" si="38"/>
        <v>1</v>
      </c>
      <c r="AI17" s="2" t="str">
        <f t="shared" si="39"/>
        <v/>
      </c>
      <c r="AJ17" s="2">
        <f t="shared" si="40"/>
        <v>144</v>
      </c>
      <c r="AK17" s="2" t="b">
        <f t="shared" si="15"/>
        <v>0</v>
      </c>
      <c r="AL17" s="2" t="b">
        <f t="shared" si="16"/>
        <v>0</v>
      </c>
      <c r="AM17" s="2" t="b">
        <f t="shared" si="17"/>
        <v>0</v>
      </c>
      <c r="AN17" s="2" t="b">
        <f t="shared" si="18"/>
        <v>1</v>
      </c>
      <c r="AO17" s="2" t="str">
        <f t="shared" si="19"/>
        <v/>
      </c>
      <c r="AP17" s="2">
        <f t="shared" si="20"/>
        <v>16</v>
      </c>
      <c r="AQ17" s="2" t="str">
        <f t="shared" si="21"/>
        <v/>
      </c>
      <c r="AR17" s="2">
        <f t="shared" si="22"/>
        <v>128</v>
      </c>
      <c r="AS17" s="2" t="str">
        <f t="shared" si="23"/>
        <v/>
      </c>
      <c r="AT17" s="2" t="str">
        <f t="shared" si="24"/>
        <v/>
      </c>
      <c r="AU17" s="2" t="str">
        <f t="shared" si="25"/>
        <v/>
      </c>
      <c r="AV17" s="2">
        <f t="shared" si="26"/>
        <v>16</v>
      </c>
      <c r="AW17" s="2" t="str">
        <f t="shared" si="27"/>
        <v/>
      </c>
      <c r="AX17" s="2" t="str">
        <f t="shared" si="28"/>
        <v/>
      </c>
      <c r="AY17" s="2" t="str">
        <f t="shared" si="29"/>
        <v/>
      </c>
      <c r="AZ17" s="2">
        <f t="shared" si="30"/>
        <v>128</v>
      </c>
    </row>
    <row r="18" spans="2:52" hidden="1" outlineLevel="2" x14ac:dyDescent="0.25">
      <c r="B18" s="2">
        <v>17</v>
      </c>
      <c r="C18" s="2">
        <v>111</v>
      </c>
      <c r="E18" s="2" t="b">
        <f>ISPRIME(B18)</f>
        <v>1</v>
      </c>
      <c r="F18" s="2" t="b">
        <f>ISPRIME(C18)</f>
        <v>0</v>
      </c>
      <c r="G18" s="2">
        <f t="shared" si="31"/>
        <v>17</v>
      </c>
      <c r="H18" s="2" t="str">
        <f t="shared" si="32"/>
        <v/>
      </c>
      <c r="K18" s="2" t="b">
        <f t="shared" si="33"/>
        <v>0</v>
      </c>
      <c r="L18" s="2" t="b">
        <f t="shared" si="34"/>
        <v>1</v>
      </c>
      <c r="M18" s="2" t="b">
        <f t="shared" si="35"/>
        <v>0</v>
      </c>
      <c r="N18" s="2" t="b">
        <f t="shared" si="36"/>
        <v>0</v>
      </c>
      <c r="Q18" s="2" t="b">
        <f t="shared" si="0"/>
        <v>1</v>
      </c>
      <c r="R18" s="2" t="b">
        <f t="shared" si="1"/>
        <v>0</v>
      </c>
      <c r="S18" s="2" t="b">
        <f t="shared" si="2"/>
        <v>1</v>
      </c>
      <c r="T18" s="2" t="b">
        <f t="shared" si="3"/>
        <v>0</v>
      </c>
      <c r="U18" s="2">
        <f t="shared" si="4"/>
        <v>17</v>
      </c>
      <c r="V18" s="2" t="str">
        <f t="shared" si="5"/>
        <v/>
      </c>
      <c r="W18" s="2">
        <f t="shared" si="6"/>
        <v>111</v>
      </c>
      <c r="X18" s="2" t="str">
        <f t="shared" si="7"/>
        <v/>
      </c>
      <c r="Y18" s="2" t="b">
        <f t="shared" si="8"/>
        <v>1</v>
      </c>
      <c r="Z18" s="2" t="b">
        <f t="shared" si="9"/>
        <v>0</v>
      </c>
      <c r="AA18" s="2" t="b">
        <f t="shared" si="10"/>
        <v>1</v>
      </c>
      <c r="AB18" s="2" t="b">
        <f t="shared" si="11"/>
        <v>0</v>
      </c>
      <c r="AC18" s="2" t="b">
        <f t="shared" si="12"/>
        <v>0</v>
      </c>
      <c r="AD18" s="2" t="b">
        <f t="shared" si="13"/>
        <v>0</v>
      </c>
      <c r="AF18" s="2">
        <f t="shared" si="14"/>
        <v>128</v>
      </c>
      <c r="AG18" s="2" t="b">
        <f t="shared" si="37"/>
        <v>0</v>
      </c>
      <c r="AH18" s="2" t="b">
        <f t="shared" si="38"/>
        <v>1</v>
      </c>
      <c r="AI18" s="2" t="str">
        <f t="shared" si="39"/>
        <v/>
      </c>
      <c r="AJ18" s="2">
        <f t="shared" si="40"/>
        <v>128</v>
      </c>
      <c r="AK18" s="2" t="b">
        <f t="shared" si="15"/>
        <v>0</v>
      </c>
      <c r="AL18" s="2" t="b">
        <f t="shared" si="16"/>
        <v>1</v>
      </c>
      <c r="AM18" s="2" t="b">
        <f t="shared" si="17"/>
        <v>0</v>
      </c>
      <c r="AN18" s="2" t="b">
        <f t="shared" si="18"/>
        <v>0</v>
      </c>
      <c r="AO18" s="2" t="str">
        <f t="shared" si="19"/>
        <v/>
      </c>
      <c r="AP18" s="2">
        <f t="shared" si="20"/>
        <v>17</v>
      </c>
      <c r="AQ18" s="2" t="str">
        <f t="shared" si="21"/>
        <v/>
      </c>
      <c r="AR18" s="2">
        <f t="shared" si="22"/>
        <v>111</v>
      </c>
      <c r="AS18" s="2" t="str">
        <f t="shared" si="23"/>
        <v/>
      </c>
      <c r="AT18" s="2">
        <f t="shared" si="24"/>
        <v>17</v>
      </c>
      <c r="AU18" s="2" t="str">
        <f t="shared" si="25"/>
        <v/>
      </c>
      <c r="AV18" s="2" t="str">
        <f t="shared" si="26"/>
        <v/>
      </c>
      <c r="AW18" s="2" t="str">
        <f t="shared" si="27"/>
        <v/>
      </c>
      <c r="AX18" s="2">
        <f t="shared" si="28"/>
        <v>111</v>
      </c>
      <c r="AY18" s="2" t="str">
        <f t="shared" si="29"/>
        <v/>
      </c>
      <c r="AZ18" s="2" t="str">
        <f t="shared" si="30"/>
        <v/>
      </c>
    </row>
    <row r="19" spans="2:52" hidden="1" outlineLevel="2" x14ac:dyDescent="0.25">
      <c r="B19" s="2">
        <v>18</v>
      </c>
      <c r="C19" s="2">
        <v>110</v>
      </c>
      <c r="E19" s="2" t="b">
        <f>ISPRIME(B19)</f>
        <v>0</v>
      </c>
      <c r="F19" s="2" t="b">
        <f>ISPRIME(C19)</f>
        <v>0</v>
      </c>
      <c r="G19" s="2" t="str">
        <f t="shared" si="31"/>
        <v/>
      </c>
      <c r="H19" s="2" t="str">
        <f t="shared" si="32"/>
        <v/>
      </c>
      <c r="K19" s="2" t="b">
        <f t="shared" si="33"/>
        <v>0</v>
      </c>
      <c r="L19" s="2" t="b">
        <f t="shared" si="34"/>
        <v>0</v>
      </c>
      <c r="M19" s="2" t="b">
        <f t="shared" si="35"/>
        <v>0</v>
      </c>
      <c r="N19" s="2" t="b">
        <f t="shared" si="36"/>
        <v>1</v>
      </c>
      <c r="Q19" s="2" t="b">
        <f t="shared" si="0"/>
        <v>0</v>
      </c>
      <c r="R19" s="2" t="b">
        <f t="shared" si="1"/>
        <v>1</v>
      </c>
      <c r="S19" s="2" t="b">
        <f t="shared" si="2"/>
        <v>0</v>
      </c>
      <c r="T19" s="2" t="b">
        <f t="shared" si="3"/>
        <v>1</v>
      </c>
      <c r="U19" s="2" t="str">
        <f t="shared" si="4"/>
        <v/>
      </c>
      <c r="V19" s="2">
        <f t="shared" si="5"/>
        <v>18</v>
      </c>
      <c r="W19" s="2" t="str">
        <f t="shared" si="6"/>
        <v/>
      </c>
      <c r="X19" s="2">
        <f t="shared" si="7"/>
        <v>110</v>
      </c>
      <c r="Y19" s="2" t="b">
        <f t="shared" si="8"/>
        <v>1</v>
      </c>
      <c r="Z19" s="2" t="b">
        <f t="shared" si="9"/>
        <v>0</v>
      </c>
      <c r="AA19" s="2" t="b">
        <f t="shared" si="10"/>
        <v>0</v>
      </c>
      <c r="AB19" s="2" t="b">
        <f t="shared" si="11"/>
        <v>0</v>
      </c>
      <c r="AC19" s="2" t="b">
        <f t="shared" si="12"/>
        <v>1</v>
      </c>
      <c r="AD19" s="2" t="b">
        <f t="shared" si="13"/>
        <v>0</v>
      </c>
      <c r="AF19" s="2">
        <f t="shared" si="14"/>
        <v>128</v>
      </c>
      <c r="AG19" s="2" t="b">
        <f t="shared" si="37"/>
        <v>0</v>
      </c>
      <c r="AH19" s="2" t="b">
        <f t="shared" si="38"/>
        <v>1</v>
      </c>
      <c r="AI19" s="2" t="str">
        <f t="shared" si="39"/>
        <v/>
      </c>
      <c r="AJ19" s="2">
        <f t="shared" si="40"/>
        <v>128</v>
      </c>
      <c r="AK19" s="2" t="b">
        <f t="shared" si="15"/>
        <v>0</v>
      </c>
      <c r="AL19" s="2" t="b">
        <f t="shared" si="16"/>
        <v>0</v>
      </c>
      <c r="AM19" s="2" t="b">
        <f t="shared" si="17"/>
        <v>0</v>
      </c>
      <c r="AN19" s="2" t="b">
        <f t="shared" si="18"/>
        <v>1</v>
      </c>
      <c r="AO19" s="2" t="str">
        <f t="shared" si="19"/>
        <v/>
      </c>
      <c r="AP19" s="2">
        <f t="shared" si="20"/>
        <v>18</v>
      </c>
      <c r="AQ19" s="2" t="str">
        <f t="shared" si="21"/>
        <v/>
      </c>
      <c r="AR19" s="2">
        <f t="shared" si="22"/>
        <v>110</v>
      </c>
      <c r="AS19" s="2" t="str">
        <f t="shared" si="23"/>
        <v/>
      </c>
      <c r="AT19" s="2" t="str">
        <f t="shared" si="24"/>
        <v/>
      </c>
      <c r="AU19" s="2" t="str">
        <f t="shared" si="25"/>
        <v/>
      </c>
      <c r="AV19" s="2">
        <f t="shared" si="26"/>
        <v>18</v>
      </c>
      <c r="AW19" s="2" t="str">
        <f t="shared" si="27"/>
        <v/>
      </c>
      <c r="AX19" s="2" t="str">
        <f t="shared" si="28"/>
        <v/>
      </c>
      <c r="AY19" s="2" t="str">
        <f t="shared" si="29"/>
        <v/>
      </c>
      <c r="AZ19" s="2">
        <f t="shared" si="30"/>
        <v>110</v>
      </c>
    </row>
    <row r="20" spans="2:52" hidden="1" outlineLevel="2" x14ac:dyDescent="0.25">
      <c r="B20" s="2">
        <v>19</v>
      </c>
      <c r="C20" s="2">
        <v>98</v>
      </c>
      <c r="E20" s="2" t="b">
        <f>ISPRIME(B20)</f>
        <v>1</v>
      </c>
      <c r="F20" s="2" t="b">
        <f>ISPRIME(C20)</f>
        <v>0</v>
      </c>
      <c r="G20" s="2">
        <f t="shared" si="31"/>
        <v>19</v>
      </c>
      <c r="H20" s="2" t="str">
        <f t="shared" si="32"/>
        <v/>
      </c>
      <c r="K20" s="2" t="b">
        <f t="shared" si="33"/>
        <v>0</v>
      </c>
      <c r="L20" s="2" t="b">
        <f t="shared" si="34"/>
        <v>1</v>
      </c>
      <c r="M20" s="2" t="b">
        <f t="shared" si="35"/>
        <v>0</v>
      </c>
      <c r="N20" s="2" t="b">
        <f t="shared" si="36"/>
        <v>0</v>
      </c>
      <c r="Q20" s="2" t="b">
        <f t="shared" si="0"/>
        <v>1</v>
      </c>
      <c r="R20" s="2" t="b">
        <f t="shared" si="1"/>
        <v>0</v>
      </c>
      <c r="S20" s="2" t="b">
        <f t="shared" si="2"/>
        <v>0</v>
      </c>
      <c r="T20" s="2" t="b">
        <f t="shared" si="3"/>
        <v>1</v>
      </c>
      <c r="U20" s="2">
        <f t="shared" si="4"/>
        <v>19</v>
      </c>
      <c r="V20" s="2" t="str">
        <f t="shared" si="5"/>
        <v/>
      </c>
      <c r="W20" s="2" t="str">
        <f t="shared" si="6"/>
        <v/>
      </c>
      <c r="X20" s="2">
        <f t="shared" si="7"/>
        <v>98</v>
      </c>
      <c r="Y20" s="2" t="b">
        <f t="shared" si="8"/>
        <v>0</v>
      </c>
      <c r="Z20" s="2" t="b">
        <f t="shared" si="9"/>
        <v>1</v>
      </c>
      <c r="AA20" s="2" t="b">
        <f t="shared" si="10"/>
        <v>0</v>
      </c>
      <c r="AB20" s="2" t="b">
        <f t="shared" si="11"/>
        <v>0</v>
      </c>
      <c r="AC20" s="2" t="b">
        <f t="shared" si="12"/>
        <v>0</v>
      </c>
      <c r="AD20" s="2" t="b">
        <f t="shared" si="13"/>
        <v>1</v>
      </c>
      <c r="AF20" s="2">
        <f t="shared" si="14"/>
        <v>117</v>
      </c>
      <c r="AG20" s="2" t="b">
        <f t="shared" si="37"/>
        <v>1</v>
      </c>
      <c r="AH20" s="2" t="b">
        <f t="shared" si="38"/>
        <v>0</v>
      </c>
      <c r="AI20" s="2">
        <f t="shared" si="39"/>
        <v>117</v>
      </c>
      <c r="AJ20" s="2" t="str">
        <f t="shared" si="40"/>
        <v/>
      </c>
      <c r="AK20" s="2" t="b">
        <f t="shared" si="15"/>
        <v>1</v>
      </c>
      <c r="AL20" s="2" t="b">
        <f t="shared" si="16"/>
        <v>0</v>
      </c>
      <c r="AM20" s="2" t="b">
        <f t="shared" si="17"/>
        <v>0</v>
      </c>
      <c r="AN20" s="2" t="b">
        <f t="shared" si="18"/>
        <v>0</v>
      </c>
      <c r="AO20" s="2">
        <f t="shared" si="19"/>
        <v>19</v>
      </c>
      <c r="AP20" s="2" t="str">
        <f t="shared" si="20"/>
        <v/>
      </c>
      <c r="AQ20" s="2">
        <f t="shared" si="21"/>
        <v>98</v>
      </c>
      <c r="AR20" s="2" t="str">
        <f t="shared" si="22"/>
        <v/>
      </c>
      <c r="AS20" s="2">
        <f t="shared" si="23"/>
        <v>19</v>
      </c>
      <c r="AT20" s="2" t="str">
        <f t="shared" si="24"/>
        <v/>
      </c>
      <c r="AU20" s="2" t="str">
        <f t="shared" si="25"/>
        <v/>
      </c>
      <c r="AV20" s="2" t="str">
        <f t="shared" si="26"/>
        <v/>
      </c>
      <c r="AW20" s="2" t="str">
        <f t="shared" si="27"/>
        <v/>
      </c>
      <c r="AX20" s="2" t="str">
        <f t="shared" si="28"/>
        <v/>
      </c>
      <c r="AY20" s="2">
        <f t="shared" si="29"/>
        <v>98</v>
      </c>
      <c r="AZ20" s="2" t="str">
        <f t="shared" si="30"/>
        <v/>
      </c>
    </row>
    <row r="21" spans="2:52" hidden="1" outlineLevel="2" x14ac:dyDescent="0.25">
      <c r="B21" s="2">
        <v>20</v>
      </c>
      <c r="C21" s="2">
        <v>135</v>
      </c>
      <c r="E21" s="2" t="b">
        <f>ISPRIME(B21)</f>
        <v>0</v>
      </c>
      <c r="F21" s="2" t="b">
        <f>ISPRIME(C21)</f>
        <v>0</v>
      </c>
      <c r="G21" s="2" t="str">
        <f t="shared" si="31"/>
        <v/>
      </c>
      <c r="H21" s="2" t="str">
        <f t="shared" si="32"/>
        <v/>
      </c>
      <c r="K21" s="2" t="b">
        <f t="shared" si="33"/>
        <v>0</v>
      </c>
      <c r="L21" s="2" t="b">
        <f t="shared" si="34"/>
        <v>0</v>
      </c>
      <c r="M21" s="2" t="b">
        <f t="shared" si="35"/>
        <v>0</v>
      </c>
      <c r="N21" s="2" t="b">
        <f t="shared" si="36"/>
        <v>1</v>
      </c>
      <c r="Q21" s="2" t="b">
        <f t="shared" si="0"/>
        <v>0</v>
      </c>
      <c r="R21" s="2" t="b">
        <f t="shared" si="1"/>
        <v>1</v>
      </c>
      <c r="S21" s="2" t="b">
        <f t="shared" si="2"/>
        <v>1</v>
      </c>
      <c r="T21" s="2" t="b">
        <f t="shared" si="3"/>
        <v>0</v>
      </c>
      <c r="U21" s="2" t="str">
        <f t="shared" si="4"/>
        <v/>
      </c>
      <c r="V21" s="2">
        <f t="shared" si="5"/>
        <v>20</v>
      </c>
      <c r="W21" s="2">
        <f t="shared" si="6"/>
        <v>135</v>
      </c>
      <c r="X21" s="2" t="str">
        <f t="shared" si="7"/>
        <v/>
      </c>
      <c r="Y21" s="2" t="b">
        <f t="shared" si="8"/>
        <v>0</v>
      </c>
      <c r="Z21" s="2" t="b">
        <f t="shared" si="9"/>
        <v>1</v>
      </c>
      <c r="AA21" s="2" t="b">
        <f t="shared" si="10"/>
        <v>0</v>
      </c>
      <c r="AB21" s="2" t="b">
        <f t="shared" si="11"/>
        <v>1</v>
      </c>
      <c r="AC21" s="2" t="b">
        <f t="shared" si="12"/>
        <v>0</v>
      </c>
      <c r="AD21" s="2" t="b">
        <f t="shared" si="13"/>
        <v>0</v>
      </c>
      <c r="AF21" s="2">
        <f t="shared" si="14"/>
        <v>155</v>
      </c>
      <c r="AG21" s="2" t="b">
        <f t="shared" si="37"/>
        <v>1</v>
      </c>
      <c r="AH21" s="2" t="b">
        <f t="shared" si="38"/>
        <v>0</v>
      </c>
      <c r="AI21" s="2">
        <f t="shared" si="39"/>
        <v>155</v>
      </c>
      <c r="AJ21" s="2" t="str">
        <f t="shared" si="40"/>
        <v/>
      </c>
      <c r="AK21" s="2" t="b">
        <f t="shared" si="15"/>
        <v>0</v>
      </c>
      <c r="AL21" s="2" t="b">
        <f t="shared" si="16"/>
        <v>0</v>
      </c>
      <c r="AM21" s="2" t="b">
        <f t="shared" si="17"/>
        <v>1</v>
      </c>
      <c r="AN21" s="2" t="b">
        <f t="shared" si="18"/>
        <v>0</v>
      </c>
      <c r="AO21" s="2">
        <f t="shared" si="19"/>
        <v>20</v>
      </c>
      <c r="AP21" s="2" t="str">
        <f t="shared" si="20"/>
        <v/>
      </c>
      <c r="AQ21" s="2">
        <f t="shared" si="21"/>
        <v>135</v>
      </c>
      <c r="AR21" s="2" t="str">
        <f t="shared" si="22"/>
        <v/>
      </c>
      <c r="AS21" s="2" t="str">
        <f t="shared" si="23"/>
        <v/>
      </c>
      <c r="AT21" s="2" t="str">
        <f t="shared" si="24"/>
        <v/>
      </c>
      <c r="AU21" s="2">
        <f t="shared" si="25"/>
        <v>20</v>
      </c>
      <c r="AV21" s="2" t="str">
        <f t="shared" si="26"/>
        <v/>
      </c>
      <c r="AW21" s="2">
        <f t="shared" si="27"/>
        <v>135</v>
      </c>
      <c r="AX21" s="2" t="str">
        <f t="shared" si="28"/>
        <v/>
      </c>
      <c r="AY21" s="2" t="str">
        <f t="shared" si="29"/>
        <v/>
      </c>
      <c r="AZ21" s="2" t="str">
        <f t="shared" si="30"/>
        <v/>
      </c>
    </row>
    <row r="22" spans="2:52" hidden="1" outlineLevel="2" x14ac:dyDescent="0.25">
      <c r="B22" s="2">
        <v>21</v>
      </c>
      <c r="C22" s="2">
        <v>112</v>
      </c>
      <c r="E22" s="2" t="b">
        <f>ISPRIME(B22)</f>
        <v>0</v>
      </c>
      <c r="F22" s="2" t="b">
        <f>ISPRIME(C22)</f>
        <v>0</v>
      </c>
      <c r="G22" s="2" t="str">
        <f t="shared" si="31"/>
        <v/>
      </c>
      <c r="H22" s="2" t="str">
        <f t="shared" si="32"/>
        <v/>
      </c>
      <c r="K22" s="2" t="b">
        <f t="shared" si="33"/>
        <v>0</v>
      </c>
      <c r="L22" s="2" t="b">
        <f t="shared" si="34"/>
        <v>0</v>
      </c>
      <c r="M22" s="2" t="b">
        <f t="shared" si="35"/>
        <v>0</v>
      </c>
      <c r="N22" s="2" t="b">
        <f t="shared" si="36"/>
        <v>1</v>
      </c>
      <c r="Q22" s="2" t="b">
        <f t="shared" si="0"/>
        <v>1</v>
      </c>
      <c r="R22" s="2" t="b">
        <f t="shared" si="1"/>
        <v>0</v>
      </c>
      <c r="S22" s="2" t="b">
        <f t="shared" si="2"/>
        <v>0</v>
      </c>
      <c r="T22" s="2" t="b">
        <f t="shared" si="3"/>
        <v>1</v>
      </c>
      <c r="U22" s="2">
        <f t="shared" si="4"/>
        <v>21</v>
      </c>
      <c r="V22" s="2" t="str">
        <f t="shared" si="5"/>
        <v/>
      </c>
      <c r="W22" s="2" t="str">
        <f t="shared" si="6"/>
        <v/>
      </c>
      <c r="X22" s="2">
        <f t="shared" si="7"/>
        <v>112</v>
      </c>
      <c r="Y22" s="2" t="b">
        <f t="shared" si="8"/>
        <v>0</v>
      </c>
      <c r="Z22" s="2" t="b">
        <f t="shared" si="9"/>
        <v>1</v>
      </c>
      <c r="AA22" s="2" t="b">
        <f t="shared" si="10"/>
        <v>0</v>
      </c>
      <c r="AB22" s="2" t="b">
        <f t="shared" si="11"/>
        <v>0</v>
      </c>
      <c r="AC22" s="2" t="b">
        <f t="shared" si="12"/>
        <v>0</v>
      </c>
      <c r="AD22" s="2" t="b">
        <f t="shared" si="13"/>
        <v>1</v>
      </c>
      <c r="AF22" s="2">
        <f t="shared" si="14"/>
        <v>133</v>
      </c>
      <c r="AG22" s="2" t="b">
        <f t="shared" si="37"/>
        <v>1</v>
      </c>
      <c r="AH22" s="2" t="b">
        <f t="shared" si="38"/>
        <v>0</v>
      </c>
      <c r="AI22" s="2">
        <f t="shared" si="39"/>
        <v>133</v>
      </c>
      <c r="AJ22" s="2" t="str">
        <f t="shared" si="40"/>
        <v/>
      </c>
      <c r="AK22" s="2" t="b">
        <f t="shared" si="15"/>
        <v>1</v>
      </c>
      <c r="AL22" s="2" t="b">
        <f t="shared" si="16"/>
        <v>0</v>
      </c>
      <c r="AM22" s="2" t="b">
        <f t="shared" si="17"/>
        <v>0</v>
      </c>
      <c r="AN22" s="2" t="b">
        <f t="shared" si="18"/>
        <v>0</v>
      </c>
      <c r="AO22" s="2">
        <f t="shared" si="19"/>
        <v>21</v>
      </c>
      <c r="AP22" s="2" t="str">
        <f t="shared" si="20"/>
        <v/>
      </c>
      <c r="AQ22" s="2">
        <f t="shared" si="21"/>
        <v>112</v>
      </c>
      <c r="AR22" s="2" t="str">
        <f t="shared" si="22"/>
        <v/>
      </c>
      <c r="AS22" s="2">
        <f t="shared" si="23"/>
        <v>21</v>
      </c>
      <c r="AT22" s="2" t="str">
        <f t="shared" si="24"/>
        <v/>
      </c>
      <c r="AU22" s="2" t="str">
        <f t="shared" si="25"/>
        <v/>
      </c>
      <c r="AV22" s="2" t="str">
        <f t="shared" si="26"/>
        <v/>
      </c>
      <c r="AW22" s="2" t="str">
        <f t="shared" si="27"/>
        <v/>
      </c>
      <c r="AX22" s="2" t="str">
        <f t="shared" si="28"/>
        <v/>
      </c>
      <c r="AY22" s="2">
        <f t="shared" si="29"/>
        <v>112</v>
      </c>
      <c r="AZ22" s="2" t="str">
        <f t="shared" si="30"/>
        <v/>
      </c>
    </row>
    <row r="23" spans="2:52" hidden="1" outlineLevel="2" x14ac:dyDescent="0.25">
      <c r="B23" s="2">
        <v>22</v>
      </c>
      <c r="C23" s="2">
        <v>78</v>
      </c>
      <c r="E23" s="2" t="b">
        <f>ISPRIME(B23)</f>
        <v>0</v>
      </c>
      <c r="F23" s="2" t="b">
        <f>ISPRIME(C23)</f>
        <v>0</v>
      </c>
      <c r="G23" s="2" t="str">
        <f t="shared" si="31"/>
        <v/>
      </c>
      <c r="H23" s="2" t="str">
        <f t="shared" si="32"/>
        <v/>
      </c>
      <c r="K23" s="2" t="b">
        <f t="shared" si="33"/>
        <v>0</v>
      </c>
      <c r="L23" s="2" t="b">
        <f t="shared" si="34"/>
        <v>0</v>
      </c>
      <c r="M23" s="2" t="b">
        <f t="shared" si="35"/>
        <v>0</v>
      </c>
      <c r="N23" s="2" t="b">
        <f t="shared" si="36"/>
        <v>1</v>
      </c>
      <c r="Q23" s="2" t="b">
        <f t="shared" si="0"/>
        <v>0</v>
      </c>
      <c r="R23" s="2" t="b">
        <f t="shared" si="1"/>
        <v>1</v>
      </c>
      <c r="S23" s="2" t="b">
        <f t="shared" si="2"/>
        <v>0</v>
      </c>
      <c r="T23" s="2" t="b">
        <f t="shared" si="3"/>
        <v>1</v>
      </c>
      <c r="U23" s="2" t="str">
        <f t="shared" si="4"/>
        <v/>
      </c>
      <c r="V23" s="2">
        <f t="shared" si="5"/>
        <v>22</v>
      </c>
      <c r="W23" s="2" t="str">
        <f t="shared" si="6"/>
        <v/>
      </c>
      <c r="X23" s="2">
        <f t="shared" si="7"/>
        <v>78</v>
      </c>
      <c r="Y23" s="2" t="b">
        <f t="shared" si="8"/>
        <v>1</v>
      </c>
      <c r="Z23" s="2" t="b">
        <f t="shared" si="9"/>
        <v>0</v>
      </c>
      <c r="AA23" s="2" t="b">
        <f t="shared" si="10"/>
        <v>0</v>
      </c>
      <c r="AB23" s="2" t="b">
        <f t="shared" si="11"/>
        <v>0</v>
      </c>
      <c r="AC23" s="2" t="b">
        <f t="shared" si="12"/>
        <v>1</v>
      </c>
      <c r="AD23" s="2" t="b">
        <f t="shared" si="13"/>
        <v>0</v>
      </c>
      <c r="AF23" s="2">
        <f t="shared" si="14"/>
        <v>100</v>
      </c>
      <c r="AG23" s="2" t="b">
        <f t="shared" si="37"/>
        <v>0</v>
      </c>
      <c r="AH23" s="2" t="b">
        <f t="shared" si="38"/>
        <v>1</v>
      </c>
      <c r="AI23" s="2" t="str">
        <f t="shared" si="39"/>
        <v/>
      </c>
      <c r="AJ23" s="2">
        <f t="shared" si="40"/>
        <v>100</v>
      </c>
      <c r="AK23" s="2" t="b">
        <f t="shared" si="15"/>
        <v>0</v>
      </c>
      <c r="AL23" s="2" t="b">
        <f t="shared" si="16"/>
        <v>0</v>
      </c>
      <c r="AM23" s="2" t="b">
        <f t="shared" si="17"/>
        <v>0</v>
      </c>
      <c r="AN23" s="2" t="b">
        <f t="shared" si="18"/>
        <v>1</v>
      </c>
      <c r="AO23" s="2" t="str">
        <f t="shared" si="19"/>
        <v/>
      </c>
      <c r="AP23" s="2">
        <f t="shared" si="20"/>
        <v>22</v>
      </c>
      <c r="AQ23" s="2" t="str">
        <f t="shared" si="21"/>
        <v/>
      </c>
      <c r="AR23" s="2">
        <f t="shared" si="22"/>
        <v>78</v>
      </c>
      <c r="AS23" s="2" t="str">
        <f t="shared" si="23"/>
        <v/>
      </c>
      <c r="AT23" s="2" t="str">
        <f t="shared" si="24"/>
        <v/>
      </c>
      <c r="AU23" s="2" t="str">
        <f t="shared" si="25"/>
        <v/>
      </c>
      <c r="AV23" s="2">
        <f t="shared" si="26"/>
        <v>22</v>
      </c>
      <c r="AW23" s="2" t="str">
        <f t="shared" si="27"/>
        <v/>
      </c>
      <c r="AX23" s="2" t="str">
        <f t="shared" si="28"/>
        <v/>
      </c>
      <c r="AY23" s="2" t="str">
        <f t="shared" si="29"/>
        <v/>
      </c>
      <c r="AZ23" s="2">
        <f t="shared" si="30"/>
        <v>78</v>
      </c>
    </row>
    <row r="24" spans="2:52" hidden="1" outlineLevel="2" x14ac:dyDescent="0.25">
      <c r="B24" s="2">
        <v>23</v>
      </c>
      <c r="C24" s="2">
        <v>118</v>
      </c>
      <c r="E24" s="2" t="b">
        <f>ISPRIME(B24)</f>
        <v>1</v>
      </c>
      <c r="F24" s="2" t="b">
        <f>ISPRIME(C24)</f>
        <v>0</v>
      </c>
      <c r="G24" s="2">
        <f t="shared" si="31"/>
        <v>23</v>
      </c>
      <c r="H24" s="2" t="str">
        <f t="shared" si="32"/>
        <v/>
      </c>
      <c r="K24" s="2" t="b">
        <f t="shared" si="33"/>
        <v>0</v>
      </c>
      <c r="L24" s="2" t="b">
        <f t="shared" si="34"/>
        <v>1</v>
      </c>
      <c r="M24" s="2" t="b">
        <f t="shared" si="35"/>
        <v>0</v>
      </c>
      <c r="N24" s="2" t="b">
        <f t="shared" si="36"/>
        <v>0</v>
      </c>
      <c r="Q24" s="2" t="b">
        <f t="shared" si="0"/>
        <v>1</v>
      </c>
      <c r="R24" s="2" t="b">
        <f t="shared" si="1"/>
        <v>0</v>
      </c>
      <c r="S24" s="2" t="b">
        <f t="shared" si="2"/>
        <v>0</v>
      </c>
      <c r="T24" s="2" t="b">
        <f t="shared" si="3"/>
        <v>1</v>
      </c>
      <c r="U24" s="2">
        <f t="shared" si="4"/>
        <v>23</v>
      </c>
      <c r="V24" s="2" t="str">
        <f t="shared" si="5"/>
        <v/>
      </c>
      <c r="W24" s="2" t="str">
        <f t="shared" si="6"/>
        <v/>
      </c>
      <c r="X24" s="2">
        <f t="shared" si="7"/>
        <v>118</v>
      </c>
      <c r="Y24" s="2" t="b">
        <f t="shared" si="8"/>
        <v>0</v>
      </c>
      <c r="Z24" s="2" t="b">
        <f t="shared" si="9"/>
        <v>1</v>
      </c>
      <c r="AA24" s="2" t="b">
        <f t="shared" si="10"/>
        <v>0</v>
      </c>
      <c r="AB24" s="2" t="b">
        <f t="shared" si="11"/>
        <v>0</v>
      </c>
      <c r="AC24" s="2" t="b">
        <f t="shared" si="12"/>
        <v>0</v>
      </c>
      <c r="AD24" s="2" t="b">
        <f t="shared" si="13"/>
        <v>1</v>
      </c>
      <c r="AF24" s="2">
        <f t="shared" si="14"/>
        <v>141</v>
      </c>
      <c r="AG24" s="2" t="b">
        <f t="shared" si="37"/>
        <v>1</v>
      </c>
      <c r="AH24" s="2" t="b">
        <f t="shared" si="38"/>
        <v>0</v>
      </c>
      <c r="AI24" s="2">
        <f t="shared" si="39"/>
        <v>141</v>
      </c>
      <c r="AJ24" s="2" t="str">
        <f t="shared" si="40"/>
        <v/>
      </c>
      <c r="AK24" s="2" t="b">
        <f t="shared" si="15"/>
        <v>1</v>
      </c>
      <c r="AL24" s="2" t="b">
        <f t="shared" si="16"/>
        <v>0</v>
      </c>
      <c r="AM24" s="2" t="b">
        <f t="shared" si="17"/>
        <v>0</v>
      </c>
      <c r="AN24" s="2" t="b">
        <f t="shared" si="18"/>
        <v>0</v>
      </c>
      <c r="AO24" s="2">
        <f t="shared" si="19"/>
        <v>23</v>
      </c>
      <c r="AP24" s="2" t="str">
        <f t="shared" si="20"/>
        <v/>
      </c>
      <c r="AQ24" s="2">
        <f t="shared" si="21"/>
        <v>118</v>
      </c>
      <c r="AR24" s="2" t="str">
        <f t="shared" si="22"/>
        <v/>
      </c>
      <c r="AS24" s="2">
        <f t="shared" si="23"/>
        <v>23</v>
      </c>
      <c r="AT24" s="2" t="str">
        <f t="shared" si="24"/>
        <v/>
      </c>
      <c r="AU24" s="2" t="str">
        <f t="shared" si="25"/>
        <v/>
      </c>
      <c r="AV24" s="2" t="str">
        <f t="shared" si="26"/>
        <v/>
      </c>
      <c r="AW24" s="2" t="str">
        <f t="shared" si="27"/>
        <v/>
      </c>
      <c r="AX24" s="2" t="str">
        <f t="shared" si="28"/>
        <v/>
      </c>
      <c r="AY24" s="2">
        <f t="shared" si="29"/>
        <v>118</v>
      </c>
      <c r="AZ24" s="2" t="str">
        <f t="shared" si="30"/>
        <v/>
      </c>
    </row>
    <row r="25" spans="2:52" hidden="1" outlineLevel="2" x14ac:dyDescent="0.25">
      <c r="B25" s="2">
        <v>24</v>
      </c>
      <c r="C25" s="2">
        <v>64</v>
      </c>
      <c r="E25" s="2" t="b">
        <f>ISPRIME(B25)</f>
        <v>0</v>
      </c>
      <c r="F25" s="2" t="b">
        <f>ISPRIME(C25)</f>
        <v>0</v>
      </c>
      <c r="G25" s="2" t="str">
        <f t="shared" si="31"/>
        <v/>
      </c>
      <c r="H25" s="2" t="str">
        <f t="shared" si="32"/>
        <v/>
      </c>
      <c r="K25" s="2" t="b">
        <f t="shared" si="33"/>
        <v>0</v>
      </c>
      <c r="L25" s="2" t="b">
        <f t="shared" si="34"/>
        <v>0</v>
      </c>
      <c r="M25" s="2" t="b">
        <f t="shared" si="35"/>
        <v>0</v>
      </c>
      <c r="N25" s="2" t="b">
        <f t="shared" si="36"/>
        <v>1</v>
      </c>
      <c r="Q25" s="2" t="b">
        <f t="shared" si="0"/>
        <v>0</v>
      </c>
      <c r="R25" s="2" t="b">
        <f t="shared" si="1"/>
        <v>1</v>
      </c>
      <c r="S25" s="2" t="b">
        <f t="shared" si="2"/>
        <v>0</v>
      </c>
      <c r="T25" s="2" t="b">
        <f t="shared" si="3"/>
        <v>1</v>
      </c>
      <c r="U25" s="2" t="str">
        <f t="shared" si="4"/>
        <v/>
      </c>
      <c r="V25" s="2">
        <f t="shared" si="5"/>
        <v>24</v>
      </c>
      <c r="W25" s="2" t="str">
        <f t="shared" si="6"/>
        <v/>
      </c>
      <c r="X25" s="2">
        <f t="shared" si="7"/>
        <v>64</v>
      </c>
      <c r="Y25" s="2" t="b">
        <f t="shared" si="8"/>
        <v>1</v>
      </c>
      <c r="Z25" s="2" t="b">
        <f t="shared" si="9"/>
        <v>0</v>
      </c>
      <c r="AA25" s="2" t="b">
        <f t="shared" si="10"/>
        <v>0</v>
      </c>
      <c r="AB25" s="2" t="b">
        <f t="shared" si="11"/>
        <v>0</v>
      </c>
      <c r="AC25" s="2" t="b">
        <f t="shared" si="12"/>
        <v>1</v>
      </c>
      <c r="AD25" s="2" t="b">
        <f t="shared" si="13"/>
        <v>0</v>
      </c>
      <c r="AF25" s="2">
        <f t="shared" si="14"/>
        <v>88</v>
      </c>
      <c r="AG25" s="2" t="b">
        <f t="shared" si="37"/>
        <v>0</v>
      </c>
      <c r="AH25" s="2" t="b">
        <f t="shared" si="38"/>
        <v>1</v>
      </c>
      <c r="AI25" s="2" t="str">
        <f t="shared" si="39"/>
        <v/>
      </c>
      <c r="AJ25" s="2">
        <f t="shared" si="40"/>
        <v>88</v>
      </c>
      <c r="AK25" s="2" t="b">
        <f t="shared" si="15"/>
        <v>0</v>
      </c>
      <c r="AL25" s="2" t="b">
        <f t="shared" si="16"/>
        <v>0</v>
      </c>
      <c r="AM25" s="2" t="b">
        <f t="shared" si="17"/>
        <v>0</v>
      </c>
      <c r="AN25" s="2" t="b">
        <f t="shared" si="18"/>
        <v>1</v>
      </c>
      <c r="AO25" s="2" t="str">
        <f t="shared" si="19"/>
        <v/>
      </c>
      <c r="AP25" s="2">
        <f t="shared" si="20"/>
        <v>24</v>
      </c>
      <c r="AQ25" s="2" t="str">
        <f t="shared" si="21"/>
        <v/>
      </c>
      <c r="AR25" s="2">
        <f t="shared" si="22"/>
        <v>64</v>
      </c>
      <c r="AS25" s="2" t="str">
        <f t="shared" si="23"/>
        <v/>
      </c>
      <c r="AT25" s="2" t="str">
        <f t="shared" si="24"/>
        <v/>
      </c>
      <c r="AU25" s="2" t="str">
        <f t="shared" si="25"/>
        <v/>
      </c>
      <c r="AV25" s="2">
        <f t="shared" si="26"/>
        <v>24</v>
      </c>
      <c r="AW25" s="2" t="str">
        <f t="shared" si="27"/>
        <v/>
      </c>
      <c r="AX25" s="2" t="str">
        <f t="shared" si="28"/>
        <v/>
      </c>
      <c r="AY25" s="2" t="str">
        <f t="shared" si="29"/>
        <v/>
      </c>
      <c r="AZ25" s="2">
        <f t="shared" si="30"/>
        <v>64</v>
      </c>
    </row>
    <row r="26" spans="2:52" hidden="1" outlineLevel="2" x14ac:dyDescent="0.25">
      <c r="B26" s="2">
        <v>25</v>
      </c>
      <c r="C26" s="2">
        <v>77</v>
      </c>
      <c r="E26" s="2" t="b">
        <f>ISPRIME(B26)</f>
        <v>0</v>
      </c>
      <c r="F26" s="2" t="b">
        <f>ISPRIME(C26)</f>
        <v>0</v>
      </c>
      <c r="G26" s="2" t="str">
        <f t="shared" si="31"/>
        <v/>
      </c>
      <c r="H26" s="2" t="str">
        <f t="shared" si="32"/>
        <v/>
      </c>
      <c r="K26" s="2" t="b">
        <f t="shared" si="33"/>
        <v>0</v>
      </c>
      <c r="L26" s="2" t="b">
        <f t="shared" si="34"/>
        <v>0</v>
      </c>
      <c r="M26" s="2" t="b">
        <f t="shared" si="35"/>
        <v>0</v>
      </c>
      <c r="N26" s="2" t="b">
        <f t="shared" si="36"/>
        <v>1</v>
      </c>
      <c r="Q26" s="2" t="b">
        <f t="shared" si="0"/>
        <v>1</v>
      </c>
      <c r="R26" s="2" t="b">
        <f t="shared" si="1"/>
        <v>0</v>
      </c>
      <c r="S26" s="2" t="b">
        <f t="shared" si="2"/>
        <v>1</v>
      </c>
      <c r="T26" s="2" t="b">
        <f t="shared" si="3"/>
        <v>0</v>
      </c>
      <c r="U26" s="2">
        <f t="shared" si="4"/>
        <v>25</v>
      </c>
      <c r="V26" s="2" t="str">
        <f t="shared" si="5"/>
        <v/>
      </c>
      <c r="W26" s="2">
        <f t="shared" si="6"/>
        <v>77</v>
      </c>
      <c r="X26" s="2" t="str">
        <f t="shared" si="7"/>
        <v/>
      </c>
      <c r="Y26" s="2" t="b">
        <f t="shared" si="8"/>
        <v>1</v>
      </c>
      <c r="Z26" s="2" t="b">
        <f t="shared" si="9"/>
        <v>0</v>
      </c>
      <c r="AA26" s="2" t="b">
        <f t="shared" si="10"/>
        <v>1</v>
      </c>
      <c r="AB26" s="2" t="b">
        <f t="shared" si="11"/>
        <v>0</v>
      </c>
      <c r="AC26" s="2" t="b">
        <f t="shared" si="12"/>
        <v>0</v>
      </c>
      <c r="AD26" s="2" t="b">
        <f t="shared" si="13"/>
        <v>0</v>
      </c>
      <c r="AF26" s="2">
        <f t="shared" si="14"/>
        <v>102</v>
      </c>
      <c r="AG26" s="2" t="b">
        <f t="shared" si="37"/>
        <v>0</v>
      </c>
      <c r="AH26" s="2" t="b">
        <f t="shared" si="38"/>
        <v>1</v>
      </c>
      <c r="AI26" s="2" t="str">
        <f t="shared" si="39"/>
        <v/>
      </c>
      <c r="AJ26" s="2">
        <f t="shared" si="40"/>
        <v>102</v>
      </c>
      <c r="AK26" s="2" t="b">
        <f t="shared" si="15"/>
        <v>0</v>
      </c>
      <c r="AL26" s="2" t="b">
        <f t="shared" si="16"/>
        <v>1</v>
      </c>
      <c r="AM26" s="2" t="b">
        <f t="shared" si="17"/>
        <v>0</v>
      </c>
      <c r="AN26" s="2" t="b">
        <f t="shared" si="18"/>
        <v>0</v>
      </c>
      <c r="AO26" s="2" t="str">
        <f t="shared" si="19"/>
        <v/>
      </c>
      <c r="AP26" s="2">
        <f t="shared" si="20"/>
        <v>25</v>
      </c>
      <c r="AQ26" s="2" t="str">
        <f t="shared" si="21"/>
        <v/>
      </c>
      <c r="AR26" s="2">
        <f t="shared" si="22"/>
        <v>77</v>
      </c>
      <c r="AS26" s="2" t="str">
        <f t="shared" si="23"/>
        <v/>
      </c>
      <c r="AT26" s="2">
        <f t="shared" si="24"/>
        <v>25</v>
      </c>
      <c r="AU26" s="2" t="str">
        <f t="shared" si="25"/>
        <v/>
      </c>
      <c r="AV26" s="2" t="str">
        <f t="shared" si="26"/>
        <v/>
      </c>
      <c r="AW26" s="2" t="str">
        <f t="shared" si="27"/>
        <v/>
      </c>
      <c r="AX26" s="2">
        <f t="shared" si="28"/>
        <v>77</v>
      </c>
      <c r="AY26" s="2" t="str">
        <f t="shared" si="29"/>
        <v/>
      </c>
      <c r="AZ26" s="2" t="str">
        <f t="shared" si="30"/>
        <v/>
      </c>
    </row>
    <row r="27" spans="2:52" hidden="1" outlineLevel="2" x14ac:dyDescent="0.25">
      <c r="B27" s="2">
        <v>26</v>
      </c>
      <c r="C27" s="2">
        <v>227</v>
      </c>
      <c r="E27" s="2" t="b">
        <f>ISPRIME(B27)</f>
        <v>0</v>
      </c>
      <c r="F27" s="2" t="b">
        <f>ISPRIME(C27)</f>
        <v>1</v>
      </c>
      <c r="G27" s="2" t="str">
        <f t="shared" si="31"/>
        <v/>
      </c>
      <c r="H27" s="2">
        <f t="shared" si="32"/>
        <v>227</v>
      </c>
      <c r="K27" s="2" t="b">
        <f t="shared" si="33"/>
        <v>0</v>
      </c>
      <c r="L27" s="2" t="b">
        <f t="shared" si="34"/>
        <v>0</v>
      </c>
      <c r="M27" s="2" t="b">
        <f t="shared" si="35"/>
        <v>1</v>
      </c>
      <c r="N27" s="2" t="b">
        <f t="shared" si="36"/>
        <v>0</v>
      </c>
      <c r="Q27" s="2" t="b">
        <f t="shared" si="0"/>
        <v>0</v>
      </c>
      <c r="R27" s="2" t="b">
        <f t="shared" si="1"/>
        <v>1</v>
      </c>
      <c r="S27" s="2" t="b">
        <f t="shared" si="2"/>
        <v>1</v>
      </c>
      <c r="T27" s="2" t="b">
        <f t="shared" si="3"/>
        <v>0</v>
      </c>
      <c r="U27" s="2" t="str">
        <f t="shared" si="4"/>
        <v/>
      </c>
      <c r="V27" s="2">
        <f t="shared" si="5"/>
        <v>26</v>
      </c>
      <c r="W27" s="2">
        <f t="shared" si="6"/>
        <v>227</v>
      </c>
      <c r="X27" s="2" t="str">
        <f t="shared" si="7"/>
        <v/>
      </c>
      <c r="Y27" s="2" t="b">
        <f t="shared" si="8"/>
        <v>0</v>
      </c>
      <c r="Z27" s="2" t="b">
        <f t="shared" si="9"/>
        <v>1</v>
      </c>
      <c r="AA27" s="2" t="b">
        <f t="shared" si="10"/>
        <v>0</v>
      </c>
      <c r="AB27" s="2" t="b">
        <f t="shared" si="11"/>
        <v>1</v>
      </c>
      <c r="AC27" s="2" t="b">
        <f t="shared" si="12"/>
        <v>0</v>
      </c>
      <c r="AD27" s="2" t="b">
        <f t="shared" si="13"/>
        <v>0</v>
      </c>
      <c r="AF27" s="2">
        <f t="shared" si="14"/>
        <v>253</v>
      </c>
      <c r="AG27" s="2" t="b">
        <f t="shared" si="37"/>
        <v>1</v>
      </c>
      <c r="AH27" s="2" t="b">
        <f t="shared" si="38"/>
        <v>0</v>
      </c>
      <c r="AI27" s="2">
        <f t="shared" si="39"/>
        <v>253</v>
      </c>
      <c r="AJ27" s="2" t="str">
        <f t="shared" si="40"/>
        <v/>
      </c>
      <c r="AK27" s="2" t="b">
        <f t="shared" si="15"/>
        <v>0</v>
      </c>
      <c r="AL27" s="2" t="b">
        <f t="shared" si="16"/>
        <v>0</v>
      </c>
      <c r="AM27" s="2" t="b">
        <f t="shared" si="17"/>
        <v>1</v>
      </c>
      <c r="AN27" s="2" t="b">
        <f t="shared" si="18"/>
        <v>0</v>
      </c>
      <c r="AO27" s="2">
        <f t="shared" si="19"/>
        <v>26</v>
      </c>
      <c r="AP27" s="2" t="str">
        <f t="shared" si="20"/>
        <v/>
      </c>
      <c r="AQ27" s="2">
        <f t="shared" si="21"/>
        <v>227</v>
      </c>
      <c r="AR27" s="2" t="str">
        <f t="shared" si="22"/>
        <v/>
      </c>
      <c r="AS27" s="2" t="str">
        <f t="shared" si="23"/>
        <v/>
      </c>
      <c r="AT27" s="2" t="str">
        <f t="shared" si="24"/>
        <v/>
      </c>
      <c r="AU27" s="2">
        <f t="shared" si="25"/>
        <v>26</v>
      </c>
      <c r="AV27" s="2" t="str">
        <f t="shared" si="26"/>
        <v/>
      </c>
      <c r="AW27" s="2">
        <f t="shared" si="27"/>
        <v>227</v>
      </c>
      <c r="AX27" s="2" t="str">
        <f t="shared" si="28"/>
        <v/>
      </c>
      <c r="AY27" s="2" t="str">
        <f t="shared" si="29"/>
        <v/>
      </c>
      <c r="AZ27" s="2" t="str">
        <f t="shared" si="30"/>
        <v/>
      </c>
    </row>
    <row r="28" spans="2:52" hidden="1" outlineLevel="2" x14ac:dyDescent="0.25">
      <c r="B28" s="2">
        <v>27</v>
      </c>
      <c r="C28" s="2">
        <v>93</v>
      </c>
      <c r="E28" s="2" t="b">
        <f>ISPRIME(B28)</f>
        <v>0</v>
      </c>
      <c r="F28" s="2" t="b">
        <f>ISPRIME(C28)</f>
        <v>0</v>
      </c>
      <c r="G28" s="2" t="str">
        <f t="shared" si="31"/>
        <v/>
      </c>
      <c r="H28" s="2" t="str">
        <f t="shared" si="32"/>
        <v/>
      </c>
      <c r="K28" s="2" t="b">
        <f t="shared" si="33"/>
        <v>0</v>
      </c>
      <c r="L28" s="2" t="b">
        <f t="shared" si="34"/>
        <v>0</v>
      </c>
      <c r="M28" s="2" t="b">
        <f t="shared" si="35"/>
        <v>0</v>
      </c>
      <c r="N28" s="2" t="b">
        <f t="shared" si="36"/>
        <v>1</v>
      </c>
      <c r="Q28" s="2" t="b">
        <f t="shared" si="0"/>
        <v>1</v>
      </c>
      <c r="R28" s="2" t="b">
        <f t="shared" si="1"/>
        <v>0</v>
      </c>
      <c r="S28" s="2" t="b">
        <f t="shared" si="2"/>
        <v>1</v>
      </c>
      <c r="T28" s="2" t="b">
        <f t="shared" si="3"/>
        <v>0</v>
      </c>
      <c r="U28" s="2">
        <f t="shared" si="4"/>
        <v>27</v>
      </c>
      <c r="V28" s="2" t="str">
        <f t="shared" si="5"/>
        <v/>
      </c>
      <c r="W28" s="2">
        <f t="shared" si="6"/>
        <v>93</v>
      </c>
      <c r="X28" s="2" t="str">
        <f t="shared" si="7"/>
        <v/>
      </c>
      <c r="Y28" s="2" t="b">
        <f t="shared" si="8"/>
        <v>1</v>
      </c>
      <c r="Z28" s="2" t="b">
        <f t="shared" si="9"/>
        <v>0</v>
      </c>
      <c r="AA28" s="2" t="b">
        <f t="shared" si="10"/>
        <v>1</v>
      </c>
      <c r="AB28" s="2" t="b">
        <f t="shared" si="11"/>
        <v>0</v>
      </c>
      <c r="AC28" s="2" t="b">
        <f t="shared" si="12"/>
        <v>0</v>
      </c>
      <c r="AD28" s="2" t="b">
        <f t="shared" si="13"/>
        <v>0</v>
      </c>
      <c r="AF28" s="2">
        <f t="shared" si="14"/>
        <v>120</v>
      </c>
      <c r="AG28" s="2" t="b">
        <f t="shared" si="37"/>
        <v>0</v>
      </c>
      <c r="AH28" s="2" t="b">
        <f t="shared" si="38"/>
        <v>1</v>
      </c>
      <c r="AI28" s="2" t="str">
        <f t="shared" si="39"/>
        <v/>
      </c>
      <c r="AJ28" s="2">
        <f t="shared" si="40"/>
        <v>120</v>
      </c>
      <c r="AK28" s="2" t="b">
        <f t="shared" si="15"/>
        <v>0</v>
      </c>
      <c r="AL28" s="2" t="b">
        <f t="shared" si="16"/>
        <v>1</v>
      </c>
      <c r="AM28" s="2" t="b">
        <f t="shared" si="17"/>
        <v>0</v>
      </c>
      <c r="AN28" s="2" t="b">
        <f t="shared" si="18"/>
        <v>0</v>
      </c>
      <c r="AO28" s="2" t="str">
        <f t="shared" si="19"/>
        <v/>
      </c>
      <c r="AP28" s="2">
        <f t="shared" si="20"/>
        <v>27</v>
      </c>
      <c r="AQ28" s="2" t="str">
        <f t="shared" si="21"/>
        <v/>
      </c>
      <c r="AR28" s="2">
        <f t="shared" si="22"/>
        <v>93</v>
      </c>
      <c r="AS28" s="2" t="str">
        <f t="shared" si="23"/>
        <v/>
      </c>
      <c r="AT28" s="2">
        <f t="shared" si="24"/>
        <v>27</v>
      </c>
      <c r="AU28" s="2" t="str">
        <f t="shared" si="25"/>
        <v/>
      </c>
      <c r="AV28" s="2" t="str">
        <f t="shared" si="26"/>
        <v/>
      </c>
      <c r="AW28" s="2" t="str">
        <f t="shared" si="27"/>
        <v/>
      </c>
      <c r="AX28" s="2">
        <f t="shared" si="28"/>
        <v>93</v>
      </c>
      <c r="AY28" s="2" t="str">
        <f t="shared" si="29"/>
        <v/>
      </c>
      <c r="AZ28" s="2" t="str">
        <f t="shared" si="30"/>
        <v/>
      </c>
    </row>
    <row r="29" spans="2:52" hidden="1" outlineLevel="2" x14ac:dyDescent="0.25">
      <c r="B29" s="2">
        <v>28</v>
      </c>
      <c r="C29" s="2">
        <v>88</v>
      </c>
      <c r="E29" s="2" t="b">
        <f>ISPRIME(B29)</f>
        <v>0</v>
      </c>
      <c r="F29" s="2" t="b">
        <f>ISPRIME(C29)</f>
        <v>0</v>
      </c>
      <c r="G29" s="2" t="str">
        <f t="shared" si="31"/>
        <v/>
      </c>
      <c r="H29" s="2" t="str">
        <f t="shared" si="32"/>
        <v/>
      </c>
      <c r="K29" s="2" t="b">
        <f t="shared" si="33"/>
        <v>0</v>
      </c>
      <c r="L29" s="2" t="b">
        <f t="shared" si="34"/>
        <v>0</v>
      </c>
      <c r="M29" s="2" t="b">
        <f t="shared" si="35"/>
        <v>0</v>
      </c>
      <c r="N29" s="2" t="b">
        <f t="shared" si="36"/>
        <v>1</v>
      </c>
      <c r="Q29" s="2" t="b">
        <f t="shared" si="0"/>
        <v>0</v>
      </c>
      <c r="R29" s="2" t="b">
        <f t="shared" si="1"/>
        <v>1</v>
      </c>
      <c r="S29" s="2" t="b">
        <f t="shared" si="2"/>
        <v>0</v>
      </c>
      <c r="T29" s="2" t="b">
        <f t="shared" si="3"/>
        <v>1</v>
      </c>
      <c r="U29" s="2" t="str">
        <f t="shared" si="4"/>
        <v/>
      </c>
      <c r="V29" s="2">
        <f t="shared" si="5"/>
        <v>28</v>
      </c>
      <c r="W29" s="2" t="str">
        <f t="shared" si="6"/>
        <v/>
      </c>
      <c r="X29" s="2">
        <f t="shared" si="7"/>
        <v>88</v>
      </c>
      <c r="Y29" s="2" t="b">
        <f t="shared" si="8"/>
        <v>1</v>
      </c>
      <c r="Z29" s="2" t="b">
        <f t="shared" si="9"/>
        <v>0</v>
      </c>
      <c r="AA29" s="2" t="b">
        <f t="shared" si="10"/>
        <v>0</v>
      </c>
      <c r="AB29" s="2" t="b">
        <f t="shared" si="11"/>
        <v>0</v>
      </c>
      <c r="AC29" s="2" t="b">
        <f t="shared" si="12"/>
        <v>1</v>
      </c>
      <c r="AD29" s="2" t="b">
        <f t="shared" si="13"/>
        <v>0</v>
      </c>
      <c r="AF29" s="2">
        <f t="shared" si="14"/>
        <v>116</v>
      </c>
      <c r="AG29" s="2" t="b">
        <f t="shared" si="37"/>
        <v>0</v>
      </c>
      <c r="AH29" s="2" t="b">
        <f t="shared" si="38"/>
        <v>1</v>
      </c>
      <c r="AI29" s="2" t="str">
        <f t="shared" si="39"/>
        <v/>
      </c>
      <c r="AJ29" s="2">
        <f t="shared" si="40"/>
        <v>116</v>
      </c>
      <c r="AK29" s="2" t="b">
        <f t="shared" si="15"/>
        <v>0</v>
      </c>
      <c r="AL29" s="2" t="b">
        <f t="shared" si="16"/>
        <v>0</v>
      </c>
      <c r="AM29" s="2" t="b">
        <f t="shared" si="17"/>
        <v>0</v>
      </c>
      <c r="AN29" s="2" t="b">
        <f t="shared" si="18"/>
        <v>1</v>
      </c>
      <c r="AO29" s="2" t="str">
        <f t="shared" si="19"/>
        <v/>
      </c>
      <c r="AP29" s="2">
        <f t="shared" si="20"/>
        <v>28</v>
      </c>
      <c r="AQ29" s="2" t="str">
        <f t="shared" si="21"/>
        <v/>
      </c>
      <c r="AR29" s="2">
        <f t="shared" si="22"/>
        <v>88</v>
      </c>
      <c r="AS29" s="2" t="str">
        <f t="shared" si="23"/>
        <v/>
      </c>
      <c r="AT29" s="2" t="str">
        <f t="shared" si="24"/>
        <v/>
      </c>
      <c r="AU29" s="2" t="str">
        <f t="shared" si="25"/>
        <v/>
      </c>
      <c r="AV29" s="2">
        <f t="shared" si="26"/>
        <v>28</v>
      </c>
      <c r="AW29" s="2" t="str">
        <f t="shared" si="27"/>
        <v/>
      </c>
      <c r="AX29" s="2" t="str">
        <f t="shared" si="28"/>
        <v/>
      </c>
      <c r="AY29" s="2" t="str">
        <f t="shared" si="29"/>
        <v/>
      </c>
      <c r="AZ29" s="2">
        <f t="shared" si="30"/>
        <v>88</v>
      </c>
    </row>
    <row r="30" spans="2:52" hidden="1" outlineLevel="2" x14ac:dyDescent="0.25">
      <c r="B30" s="2">
        <v>29</v>
      </c>
      <c r="C30" s="2">
        <v>69</v>
      </c>
      <c r="E30" s="2" t="b">
        <f>ISPRIME(B30)</f>
        <v>1</v>
      </c>
      <c r="F30" s="2" t="b">
        <f>ISPRIME(C30)</f>
        <v>0</v>
      </c>
      <c r="G30" s="2">
        <f t="shared" si="31"/>
        <v>29</v>
      </c>
      <c r="H30" s="2" t="str">
        <f t="shared" si="32"/>
        <v/>
      </c>
      <c r="K30" s="2" t="b">
        <f t="shared" si="33"/>
        <v>0</v>
      </c>
      <c r="L30" s="2" t="b">
        <f t="shared" si="34"/>
        <v>1</v>
      </c>
      <c r="M30" s="2" t="b">
        <f t="shared" si="35"/>
        <v>0</v>
      </c>
      <c r="N30" s="2" t="b">
        <f t="shared" si="36"/>
        <v>0</v>
      </c>
      <c r="Q30" s="2" t="b">
        <f t="shared" si="0"/>
        <v>1</v>
      </c>
      <c r="R30" s="2" t="b">
        <f t="shared" si="1"/>
        <v>0</v>
      </c>
      <c r="S30" s="2" t="b">
        <f t="shared" si="2"/>
        <v>1</v>
      </c>
      <c r="T30" s="2" t="b">
        <f t="shared" si="3"/>
        <v>0</v>
      </c>
      <c r="U30" s="2">
        <f t="shared" si="4"/>
        <v>29</v>
      </c>
      <c r="V30" s="2" t="str">
        <f t="shared" si="5"/>
        <v/>
      </c>
      <c r="W30" s="2">
        <f t="shared" si="6"/>
        <v>69</v>
      </c>
      <c r="X30" s="2" t="str">
        <f t="shared" si="7"/>
        <v/>
      </c>
      <c r="Y30" s="2" t="b">
        <f t="shared" si="8"/>
        <v>1</v>
      </c>
      <c r="Z30" s="2" t="b">
        <f t="shared" si="9"/>
        <v>0</v>
      </c>
      <c r="AA30" s="2" t="b">
        <f t="shared" si="10"/>
        <v>1</v>
      </c>
      <c r="AB30" s="2" t="b">
        <f t="shared" si="11"/>
        <v>0</v>
      </c>
      <c r="AC30" s="2" t="b">
        <f t="shared" si="12"/>
        <v>0</v>
      </c>
      <c r="AD30" s="2" t="b">
        <f t="shared" si="13"/>
        <v>0</v>
      </c>
      <c r="AF30" s="2">
        <f t="shared" si="14"/>
        <v>98</v>
      </c>
      <c r="AG30" s="2" t="b">
        <f t="shared" si="37"/>
        <v>0</v>
      </c>
      <c r="AH30" s="2" t="b">
        <f t="shared" si="38"/>
        <v>1</v>
      </c>
      <c r="AI30" s="2" t="str">
        <f t="shared" si="39"/>
        <v/>
      </c>
      <c r="AJ30" s="2">
        <f t="shared" si="40"/>
        <v>98</v>
      </c>
      <c r="AK30" s="2" t="b">
        <f t="shared" si="15"/>
        <v>0</v>
      </c>
      <c r="AL30" s="2" t="b">
        <f t="shared" si="16"/>
        <v>1</v>
      </c>
      <c r="AM30" s="2" t="b">
        <f t="shared" si="17"/>
        <v>0</v>
      </c>
      <c r="AN30" s="2" t="b">
        <f t="shared" si="18"/>
        <v>0</v>
      </c>
      <c r="AO30" s="2" t="str">
        <f t="shared" si="19"/>
        <v/>
      </c>
      <c r="AP30" s="2">
        <f t="shared" si="20"/>
        <v>29</v>
      </c>
      <c r="AQ30" s="2" t="str">
        <f t="shared" si="21"/>
        <v/>
      </c>
      <c r="AR30" s="2">
        <f t="shared" si="22"/>
        <v>69</v>
      </c>
      <c r="AS30" s="2" t="str">
        <f t="shared" si="23"/>
        <v/>
      </c>
      <c r="AT30" s="2">
        <f t="shared" si="24"/>
        <v>29</v>
      </c>
      <c r="AU30" s="2" t="str">
        <f t="shared" si="25"/>
        <v/>
      </c>
      <c r="AV30" s="2" t="str">
        <f t="shared" si="26"/>
        <v/>
      </c>
      <c r="AW30" s="2" t="str">
        <f t="shared" si="27"/>
        <v/>
      </c>
      <c r="AX30" s="2">
        <f t="shared" si="28"/>
        <v>69</v>
      </c>
      <c r="AY30" s="2" t="str">
        <f t="shared" si="29"/>
        <v/>
      </c>
      <c r="AZ30" s="2" t="str">
        <f t="shared" si="30"/>
        <v/>
      </c>
    </row>
    <row r="31" spans="2:52" hidden="1" outlineLevel="2" x14ac:dyDescent="0.25">
      <c r="B31" s="2">
        <v>30</v>
      </c>
      <c r="C31" s="2">
        <v>60</v>
      </c>
      <c r="E31" s="2" t="b">
        <f>ISPRIME(B31)</f>
        <v>0</v>
      </c>
      <c r="F31" s="2" t="b">
        <f>ISPRIME(C31)</f>
        <v>0</v>
      </c>
      <c r="G31" s="2" t="str">
        <f t="shared" si="31"/>
        <v/>
      </c>
      <c r="H31" s="2" t="str">
        <f t="shared" si="32"/>
        <v/>
      </c>
      <c r="K31" s="2" t="b">
        <f t="shared" si="33"/>
        <v>0</v>
      </c>
      <c r="L31" s="2" t="b">
        <f t="shared" si="34"/>
        <v>0</v>
      </c>
      <c r="M31" s="2" t="b">
        <f t="shared" si="35"/>
        <v>0</v>
      </c>
      <c r="N31" s="2" t="b">
        <f t="shared" si="36"/>
        <v>1</v>
      </c>
      <c r="Q31" s="2" t="b">
        <f t="shared" si="0"/>
        <v>0</v>
      </c>
      <c r="R31" s="2" t="b">
        <f t="shared" si="1"/>
        <v>1</v>
      </c>
      <c r="S31" s="2" t="b">
        <f t="shared" si="2"/>
        <v>0</v>
      </c>
      <c r="T31" s="2" t="b">
        <f t="shared" si="3"/>
        <v>1</v>
      </c>
      <c r="U31" s="2" t="str">
        <f t="shared" si="4"/>
        <v/>
      </c>
      <c r="V31" s="2">
        <f t="shared" si="5"/>
        <v>30</v>
      </c>
      <c r="W31" s="2" t="str">
        <f t="shared" si="6"/>
        <v/>
      </c>
      <c r="X31" s="2">
        <f t="shared" si="7"/>
        <v>60</v>
      </c>
      <c r="Y31" s="2" t="b">
        <f t="shared" si="8"/>
        <v>1</v>
      </c>
      <c r="Z31" s="2" t="b">
        <f t="shared" si="9"/>
        <v>0</v>
      </c>
      <c r="AA31" s="2" t="b">
        <f t="shared" si="10"/>
        <v>0</v>
      </c>
      <c r="AB31" s="2" t="b">
        <f t="shared" si="11"/>
        <v>0</v>
      </c>
      <c r="AC31" s="2" t="b">
        <f t="shared" si="12"/>
        <v>1</v>
      </c>
      <c r="AD31" s="2" t="b">
        <f t="shared" si="13"/>
        <v>0</v>
      </c>
      <c r="AF31" s="2">
        <f t="shared" si="14"/>
        <v>90</v>
      </c>
      <c r="AG31" s="2" t="b">
        <f t="shared" si="37"/>
        <v>0</v>
      </c>
      <c r="AH31" s="2" t="b">
        <f t="shared" si="38"/>
        <v>1</v>
      </c>
      <c r="AI31" s="2" t="str">
        <f t="shared" si="39"/>
        <v/>
      </c>
      <c r="AJ31" s="2">
        <f t="shared" si="40"/>
        <v>90</v>
      </c>
      <c r="AK31" s="2" t="b">
        <f t="shared" si="15"/>
        <v>0</v>
      </c>
      <c r="AL31" s="2" t="b">
        <f t="shared" si="16"/>
        <v>0</v>
      </c>
      <c r="AM31" s="2" t="b">
        <f t="shared" si="17"/>
        <v>0</v>
      </c>
      <c r="AN31" s="2" t="b">
        <f t="shared" si="18"/>
        <v>1</v>
      </c>
      <c r="AO31" s="2" t="str">
        <f t="shared" si="19"/>
        <v/>
      </c>
      <c r="AP31" s="2">
        <f t="shared" si="20"/>
        <v>30</v>
      </c>
      <c r="AQ31" s="2" t="str">
        <f t="shared" si="21"/>
        <v/>
      </c>
      <c r="AR31" s="2">
        <f t="shared" si="22"/>
        <v>60</v>
      </c>
      <c r="AS31" s="2" t="str">
        <f t="shared" si="23"/>
        <v/>
      </c>
      <c r="AT31" s="2" t="str">
        <f t="shared" si="24"/>
        <v/>
      </c>
      <c r="AU31" s="2" t="str">
        <f t="shared" si="25"/>
        <v/>
      </c>
      <c r="AV31" s="2">
        <f t="shared" si="26"/>
        <v>30</v>
      </c>
      <c r="AW31" s="2" t="str">
        <f t="shared" si="27"/>
        <v/>
      </c>
      <c r="AX31" s="2" t="str">
        <f t="shared" si="28"/>
        <v/>
      </c>
      <c r="AY31" s="2" t="str">
        <f t="shared" si="29"/>
        <v/>
      </c>
      <c r="AZ31" s="2">
        <f t="shared" si="30"/>
        <v>60</v>
      </c>
    </row>
    <row r="32" spans="2:52" hidden="1" outlineLevel="2" x14ac:dyDescent="0.25">
      <c r="B32" s="2">
        <v>31</v>
      </c>
      <c r="C32" s="2">
        <v>34</v>
      </c>
      <c r="E32" s="2" t="b">
        <f>ISPRIME(B32)</f>
        <v>1</v>
      </c>
      <c r="F32" s="2" t="b">
        <f>ISPRIME(C32)</f>
        <v>0</v>
      </c>
      <c r="G32" s="2">
        <f t="shared" si="31"/>
        <v>31</v>
      </c>
      <c r="H32" s="2" t="str">
        <f t="shared" si="32"/>
        <v/>
      </c>
      <c r="K32" s="2" t="b">
        <f t="shared" si="33"/>
        <v>0</v>
      </c>
      <c r="L32" s="2" t="b">
        <f t="shared" si="34"/>
        <v>1</v>
      </c>
      <c r="M32" s="2" t="b">
        <f t="shared" si="35"/>
        <v>0</v>
      </c>
      <c r="N32" s="2" t="b">
        <f t="shared" si="36"/>
        <v>0</v>
      </c>
      <c r="Q32" s="2" t="b">
        <f t="shared" si="0"/>
        <v>1</v>
      </c>
      <c r="R32" s="2" t="b">
        <f t="shared" si="1"/>
        <v>0</v>
      </c>
      <c r="S32" s="2" t="b">
        <f t="shared" si="2"/>
        <v>0</v>
      </c>
      <c r="T32" s="2" t="b">
        <f t="shared" si="3"/>
        <v>1</v>
      </c>
      <c r="U32" s="2">
        <f t="shared" si="4"/>
        <v>31</v>
      </c>
      <c r="V32" s="2" t="str">
        <f t="shared" si="5"/>
        <v/>
      </c>
      <c r="W32" s="2" t="str">
        <f t="shared" si="6"/>
        <v/>
      </c>
      <c r="X32" s="2">
        <f t="shared" si="7"/>
        <v>34</v>
      </c>
      <c r="Y32" s="2" t="b">
        <f t="shared" si="8"/>
        <v>0</v>
      </c>
      <c r="Z32" s="2" t="b">
        <f t="shared" si="9"/>
        <v>1</v>
      </c>
      <c r="AA32" s="2" t="b">
        <f t="shared" si="10"/>
        <v>0</v>
      </c>
      <c r="AB32" s="2" t="b">
        <f t="shared" si="11"/>
        <v>0</v>
      </c>
      <c r="AC32" s="2" t="b">
        <f t="shared" si="12"/>
        <v>0</v>
      </c>
      <c r="AD32" s="2" t="b">
        <f t="shared" si="13"/>
        <v>1</v>
      </c>
      <c r="AF32" s="2">
        <f t="shared" si="14"/>
        <v>65</v>
      </c>
      <c r="AG32" s="2" t="b">
        <f t="shared" si="37"/>
        <v>1</v>
      </c>
      <c r="AH32" s="2" t="b">
        <f t="shared" si="38"/>
        <v>0</v>
      </c>
      <c r="AI32" s="2">
        <f t="shared" si="39"/>
        <v>65</v>
      </c>
      <c r="AJ32" s="2" t="str">
        <f t="shared" si="40"/>
        <v/>
      </c>
      <c r="AK32" s="2" t="b">
        <f t="shared" si="15"/>
        <v>1</v>
      </c>
      <c r="AL32" s="2" t="b">
        <f t="shared" si="16"/>
        <v>0</v>
      </c>
      <c r="AM32" s="2" t="b">
        <f t="shared" si="17"/>
        <v>0</v>
      </c>
      <c r="AN32" s="2" t="b">
        <f t="shared" si="18"/>
        <v>0</v>
      </c>
      <c r="AO32" s="2">
        <f t="shared" si="19"/>
        <v>31</v>
      </c>
      <c r="AP32" s="2" t="str">
        <f t="shared" si="20"/>
        <v/>
      </c>
      <c r="AQ32" s="2">
        <f t="shared" si="21"/>
        <v>34</v>
      </c>
      <c r="AR32" s="2" t="str">
        <f t="shared" si="22"/>
        <v/>
      </c>
      <c r="AS32" s="2">
        <f t="shared" si="23"/>
        <v>31</v>
      </c>
      <c r="AT32" s="2" t="str">
        <f t="shared" si="24"/>
        <v/>
      </c>
      <c r="AU32" s="2" t="str">
        <f t="shared" si="25"/>
        <v/>
      </c>
      <c r="AV32" s="2" t="str">
        <f t="shared" si="26"/>
        <v/>
      </c>
      <c r="AW32" s="2" t="str">
        <f t="shared" si="27"/>
        <v/>
      </c>
      <c r="AX32" s="2" t="str">
        <f t="shared" si="28"/>
        <v/>
      </c>
      <c r="AY32" s="2">
        <f t="shared" si="29"/>
        <v>34</v>
      </c>
      <c r="AZ32" s="2" t="str">
        <f t="shared" si="30"/>
        <v/>
      </c>
    </row>
    <row r="33" spans="2:52" hidden="1" outlineLevel="2" x14ac:dyDescent="0.25">
      <c r="B33" s="2">
        <v>32</v>
      </c>
      <c r="C33" s="2">
        <v>30</v>
      </c>
      <c r="E33" s="2" t="b">
        <f>ISPRIME(B33)</f>
        <v>0</v>
      </c>
      <c r="F33" s="2" t="b">
        <f>ISPRIME(C33)</f>
        <v>0</v>
      </c>
      <c r="G33" s="2" t="str">
        <f t="shared" si="31"/>
        <v/>
      </c>
      <c r="H33" s="2" t="str">
        <f t="shared" si="32"/>
        <v/>
      </c>
      <c r="K33" s="2" t="b">
        <f t="shared" si="33"/>
        <v>0</v>
      </c>
      <c r="L33" s="2" t="b">
        <f t="shared" si="34"/>
        <v>0</v>
      </c>
      <c r="M33" s="2" t="b">
        <f t="shared" si="35"/>
        <v>0</v>
      </c>
      <c r="N33" s="2" t="b">
        <f t="shared" si="36"/>
        <v>1</v>
      </c>
      <c r="Q33" s="2" t="b">
        <f t="shared" si="0"/>
        <v>0</v>
      </c>
      <c r="R33" s="2" t="b">
        <f t="shared" si="1"/>
        <v>1</v>
      </c>
      <c r="S33" s="2" t="b">
        <f t="shared" si="2"/>
        <v>0</v>
      </c>
      <c r="T33" s="2" t="b">
        <f t="shared" si="3"/>
        <v>1</v>
      </c>
      <c r="U33" s="2" t="str">
        <f t="shared" si="4"/>
        <v/>
      </c>
      <c r="V33" s="2">
        <f t="shared" si="5"/>
        <v>32</v>
      </c>
      <c r="W33" s="2" t="str">
        <f t="shared" si="6"/>
        <v/>
      </c>
      <c r="X33" s="2">
        <f t="shared" si="7"/>
        <v>30</v>
      </c>
      <c r="Y33" s="2" t="b">
        <f t="shared" si="8"/>
        <v>1</v>
      </c>
      <c r="Z33" s="2" t="b">
        <f t="shared" si="9"/>
        <v>0</v>
      </c>
      <c r="AA33" s="2" t="b">
        <f t="shared" si="10"/>
        <v>0</v>
      </c>
      <c r="AB33" s="2" t="b">
        <f t="shared" si="11"/>
        <v>0</v>
      </c>
      <c r="AC33" s="2" t="b">
        <f t="shared" si="12"/>
        <v>1</v>
      </c>
      <c r="AD33" s="2" t="b">
        <f t="shared" si="13"/>
        <v>0</v>
      </c>
      <c r="AF33" s="2">
        <f t="shared" si="14"/>
        <v>62</v>
      </c>
      <c r="AG33" s="2" t="b">
        <f t="shared" si="37"/>
        <v>0</v>
      </c>
      <c r="AH33" s="2" t="b">
        <f t="shared" si="38"/>
        <v>1</v>
      </c>
      <c r="AI33" s="2" t="str">
        <f t="shared" si="39"/>
        <v/>
      </c>
      <c r="AJ33" s="2">
        <f t="shared" si="40"/>
        <v>62</v>
      </c>
      <c r="AK33" s="2" t="b">
        <f t="shared" si="15"/>
        <v>0</v>
      </c>
      <c r="AL33" s="2" t="b">
        <f t="shared" si="16"/>
        <v>0</v>
      </c>
      <c r="AM33" s="2" t="b">
        <f t="shared" si="17"/>
        <v>0</v>
      </c>
      <c r="AN33" s="2" t="b">
        <f t="shared" si="18"/>
        <v>1</v>
      </c>
      <c r="AO33" s="2" t="str">
        <f t="shared" si="19"/>
        <v/>
      </c>
      <c r="AP33" s="2">
        <f t="shared" si="20"/>
        <v>32</v>
      </c>
      <c r="AQ33" s="2" t="str">
        <f t="shared" si="21"/>
        <v/>
      </c>
      <c r="AR33" s="2">
        <f t="shared" si="22"/>
        <v>30</v>
      </c>
      <c r="AS33" s="2" t="str">
        <f t="shared" si="23"/>
        <v/>
      </c>
      <c r="AT33" s="2" t="str">
        <f t="shared" si="24"/>
        <v/>
      </c>
      <c r="AU33" s="2" t="str">
        <f t="shared" si="25"/>
        <v/>
      </c>
      <c r="AV33" s="2">
        <f t="shared" si="26"/>
        <v>32</v>
      </c>
      <c r="AW33" s="2" t="str">
        <f t="shared" si="27"/>
        <v/>
      </c>
      <c r="AX33" s="2" t="str">
        <f t="shared" si="28"/>
        <v/>
      </c>
      <c r="AY33" s="2" t="str">
        <f t="shared" si="29"/>
        <v/>
      </c>
      <c r="AZ33" s="2">
        <f t="shared" si="30"/>
        <v>30</v>
      </c>
    </row>
    <row r="34" spans="2:52" hidden="1" outlineLevel="2" x14ac:dyDescent="0.25">
      <c r="B34" s="2">
        <v>33</v>
      </c>
      <c r="C34" s="2">
        <v>73</v>
      </c>
      <c r="E34" s="2" t="b">
        <f>ISPRIME(B34)</f>
        <v>0</v>
      </c>
      <c r="F34" s="2" t="b">
        <f>ISPRIME(C34)</f>
        <v>1</v>
      </c>
      <c r="G34" s="2" t="str">
        <f t="shared" si="31"/>
        <v/>
      </c>
      <c r="H34" s="2">
        <f t="shared" si="32"/>
        <v>73</v>
      </c>
      <c r="K34" s="2" t="b">
        <f t="shared" si="33"/>
        <v>0</v>
      </c>
      <c r="L34" s="2" t="b">
        <f t="shared" si="34"/>
        <v>0</v>
      </c>
      <c r="M34" s="2" t="b">
        <f t="shared" si="35"/>
        <v>1</v>
      </c>
      <c r="N34" s="2" t="b">
        <f t="shared" si="36"/>
        <v>0</v>
      </c>
      <c r="Q34" s="2" t="b">
        <f t="shared" ref="Q34:Q65" si="41">ISODD(B34)</f>
        <v>1</v>
      </c>
      <c r="R34" s="2" t="b">
        <f t="shared" ref="R34:R65" si="42">ISEVEN(B34)</f>
        <v>0</v>
      </c>
      <c r="S34" s="2" t="b">
        <f t="shared" ref="S34:S65" si="43">ISODD(C34)</f>
        <v>1</v>
      </c>
      <c r="T34" s="2" t="b">
        <f t="shared" ref="T34:T65" si="44">ISEVEN(C34)</f>
        <v>0</v>
      </c>
      <c r="U34" s="2">
        <f t="shared" ref="U34:U65" si="45">IF(Q34, B34, "")</f>
        <v>33</v>
      </c>
      <c r="V34" s="2" t="str">
        <f t="shared" ref="V34:V65" si="46">IF(R34, B34, "")</f>
        <v/>
      </c>
      <c r="W34" s="2">
        <f t="shared" ref="W34:W65" si="47">IF(S34, C34, "")</f>
        <v>73</v>
      </c>
      <c r="X34" s="2" t="str">
        <f t="shared" ref="X34:X65" si="48">IF(T34, C34, "")</f>
        <v/>
      </c>
      <c r="Y34" s="2" t="b">
        <f t="shared" ref="Y34:Y65" si="49">OR(AND(Q34, S34), AND(R34, T34))</f>
        <v>1</v>
      </c>
      <c r="Z34" s="2" t="b">
        <f t="shared" ref="Z34:Z65" si="50">OR(AND(Q34, T34), AND(R34, S34))</f>
        <v>0</v>
      </c>
      <c r="AA34" s="2" t="b">
        <f t="shared" ref="AA34:AA65" si="51">AND(Q34, S34)</f>
        <v>1</v>
      </c>
      <c r="AB34" s="2" t="b">
        <f t="shared" ref="AB34:AB65" si="52">AND(R34, S34)</f>
        <v>0</v>
      </c>
      <c r="AC34" s="2" t="b">
        <f t="shared" ref="AC34:AC65" si="53">AND(R34, T34)</f>
        <v>0</v>
      </c>
      <c r="AD34" s="2" t="b">
        <f t="shared" ref="AD34:AD65" si="54">AND(Q34, T34)</f>
        <v>0</v>
      </c>
      <c r="AF34" s="2">
        <f t="shared" ref="AF34:AF65" si="55">SUM(B34, C34)</f>
        <v>106</v>
      </c>
      <c r="AG34" s="2" t="b">
        <f t="shared" si="37"/>
        <v>0</v>
      </c>
      <c r="AH34" s="2" t="b">
        <f t="shared" si="38"/>
        <v>1</v>
      </c>
      <c r="AI34" s="2" t="str">
        <f t="shared" si="39"/>
        <v/>
      </c>
      <c r="AJ34" s="2">
        <f t="shared" si="40"/>
        <v>106</v>
      </c>
      <c r="AK34" s="2" t="b">
        <f t="shared" ref="AK34:AK65" si="56">AND(ISODD(B34),ISODD(AF34))</f>
        <v>0</v>
      </c>
      <c r="AL34" s="2" t="b">
        <f t="shared" ref="AL34:AL65" si="57">AND(ISODD(B34),ISEVEN(AF34))</f>
        <v>1</v>
      </c>
      <c r="AM34" s="2" t="b">
        <f t="shared" ref="AM34:AM65" si="58">AND(ISEVEN(B34),ISODD(AF34))</f>
        <v>0</v>
      </c>
      <c r="AN34" s="2" t="b">
        <f t="shared" ref="AN34:AN65" si="59">AND(ISEVEN(B34),ISEVEN(AF34))</f>
        <v>0</v>
      </c>
      <c r="AO34" s="2" t="str">
        <f t="shared" ref="AO34:AO65" si="60">IF(AG34,B34, "")</f>
        <v/>
      </c>
      <c r="AP34" s="2">
        <f t="shared" ref="AP34:AP65" si="61">IF(AH34, B34, "")</f>
        <v>33</v>
      </c>
      <c r="AQ34" s="2" t="str">
        <f t="shared" ref="AQ34:AQ65" si="62">IF(AG34, C34, "")</f>
        <v/>
      </c>
      <c r="AR34" s="2">
        <f t="shared" ref="AR34:AR65" si="63">IF(AH34, C34, "")</f>
        <v>73</v>
      </c>
      <c r="AS34" s="2" t="str">
        <f t="shared" ref="AS34:AS65" si="64">IF(AND(ISODD(B34),ISODD(AF34)), B34, "")</f>
        <v/>
      </c>
      <c r="AT34" s="2">
        <f t="shared" ref="AT34:AT65" si="65">IF(AND(ISODD(B34),ISEVEN(AF34)), B34, "")</f>
        <v>33</v>
      </c>
      <c r="AU34" s="2" t="str">
        <f t="shared" ref="AU34:AU65" si="66">IF(AND(ISEVEN(B34),ISODD(AF34)), B34, "")</f>
        <v/>
      </c>
      <c r="AV34" s="2" t="str">
        <f t="shared" ref="AV34:AV65" si="67">IF(AND(ISEVEN(B34),ISEVEN(AF34)), B34, "")</f>
        <v/>
      </c>
      <c r="AW34" s="2" t="str">
        <f t="shared" ref="AW34:AW65" si="68">IF(AND(ISODD(C34),ISODD(AF34)), C34, "")</f>
        <v/>
      </c>
      <c r="AX34" s="2">
        <f t="shared" ref="AX34:AX65" si="69">IF(AND(ISODD(C34),ISEVEN(AF34)), C34, "")</f>
        <v>73</v>
      </c>
      <c r="AY34" s="2" t="str">
        <f t="shared" ref="AY34:AY65" si="70">IF(AND(ISEVEN(C34),ISODD(AF34)), C34, "")</f>
        <v/>
      </c>
      <c r="AZ34" s="2" t="str">
        <f t="shared" ref="AZ34:AZ65" si="71">IF(AND(ISEVEN(C34),ISEVEN(AF34)), C34, "")</f>
        <v/>
      </c>
    </row>
    <row r="35" spans="2:52" hidden="1" outlineLevel="2" x14ac:dyDescent="0.25">
      <c r="B35" s="2">
        <v>34</v>
      </c>
      <c r="C35" s="2">
        <v>54</v>
      </c>
      <c r="E35" s="2" t="b">
        <f>ISPRIME(B35)</f>
        <v>0</v>
      </c>
      <c r="F35" s="2" t="b">
        <f>ISPRIME(C35)</f>
        <v>0</v>
      </c>
      <c r="G35" s="2" t="str">
        <f t="shared" si="31"/>
        <v/>
      </c>
      <c r="H35" s="2" t="str">
        <f t="shared" si="32"/>
        <v/>
      </c>
      <c r="K35" s="2" t="b">
        <f t="shared" si="33"/>
        <v>0</v>
      </c>
      <c r="L35" s="2" t="b">
        <f t="shared" si="34"/>
        <v>0</v>
      </c>
      <c r="M35" s="2" t="b">
        <f t="shared" si="35"/>
        <v>0</v>
      </c>
      <c r="N35" s="2" t="b">
        <f t="shared" si="36"/>
        <v>1</v>
      </c>
      <c r="Q35" s="2" t="b">
        <f t="shared" si="41"/>
        <v>0</v>
      </c>
      <c r="R35" s="2" t="b">
        <f t="shared" si="42"/>
        <v>1</v>
      </c>
      <c r="S35" s="2" t="b">
        <f t="shared" si="43"/>
        <v>0</v>
      </c>
      <c r="T35" s="2" t="b">
        <f t="shared" si="44"/>
        <v>1</v>
      </c>
      <c r="U35" s="2" t="str">
        <f t="shared" si="45"/>
        <v/>
      </c>
      <c r="V35" s="2">
        <f t="shared" si="46"/>
        <v>34</v>
      </c>
      <c r="W35" s="2" t="str">
        <f t="shared" si="47"/>
        <v/>
      </c>
      <c r="X35" s="2">
        <f t="shared" si="48"/>
        <v>54</v>
      </c>
      <c r="Y35" s="2" t="b">
        <f t="shared" si="49"/>
        <v>1</v>
      </c>
      <c r="Z35" s="2" t="b">
        <f t="shared" si="50"/>
        <v>0</v>
      </c>
      <c r="AA35" s="2" t="b">
        <f t="shared" si="51"/>
        <v>0</v>
      </c>
      <c r="AB35" s="2" t="b">
        <f t="shared" si="52"/>
        <v>0</v>
      </c>
      <c r="AC35" s="2" t="b">
        <f t="shared" si="53"/>
        <v>1</v>
      </c>
      <c r="AD35" s="2" t="b">
        <f t="shared" si="54"/>
        <v>0</v>
      </c>
      <c r="AF35" s="2">
        <f t="shared" si="55"/>
        <v>88</v>
      </c>
      <c r="AG35" s="2" t="b">
        <f t="shared" si="37"/>
        <v>0</v>
      </c>
      <c r="AH35" s="2" t="b">
        <f t="shared" si="38"/>
        <v>1</v>
      </c>
      <c r="AI35" s="2" t="str">
        <f t="shared" si="39"/>
        <v/>
      </c>
      <c r="AJ35" s="2">
        <f t="shared" si="40"/>
        <v>88</v>
      </c>
      <c r="AK35" s="2" t="b">
        <f t="shared" si="56"/>
        <v>0</v>
      </c>
      <c r="AL35" s="2" t="b">
        <f t="shared" si="57"/>
        <v>0</v>
      </c>
      <c r="AM35" s="2" t="b">
        <f t="shared" si="58"/>
        <v>0</v>
      </c>
      <c r="AN35" s="2" t="b">
        <f t="shared" si="59"/>
        <v>1</v>
      </c>
      <c r="AO35" s="2" t="str">
        <f t="shared" si="60"/>
        <v/>
      </c>
      <c r="AP35" s="2">
        <f t="shared" si="61"/>
        <v>34</v>
      </c>
      <c r="AQ35" s="2" t="str">
        <f t="shared" si="62"/>
        <v/>
      </c>
      <c r="AR35" s="2">
        <f t="shared" si="63"/>
        <v>54</v>
      </c>
      <c r="AS35" s="2" t="str">
        <f t="shared" si="64"/>
        <v/>
      </c>
      <c r="AT35" s="2" t="str">
        <f t="shared" si="65"/>
        <v/>
      </c>
      <c r="AU35" s="2" t="str">
        <f t="shared" si="66"/>
        <v/>
      </c>
      <c r="AV35" s="2">
        <f t="shared" si="67"/>
        <v>34</v>
      </c>
      <c r="AW35" s="2" t="str">
        <f t="shared" si="68"/>
        <v/>
      </c>
      <c r="AX35" s="2" t="str">
        <f t="shared" si="69"/>
        <v/>
      </c>
      <c r="AY35" s="2" t="str">
        <f t="shared" si="70"/>
        <v/>
      </c>
      <c r="AZ35" s="2">
        <f t="shared" si="71"/>
        <v>54</v>
      </c>
    </row>
    <row r="36" spans="2:52" hidden="1" outlineLevel="2" x14ac:dyDescent="0.25">
      <c r="B36" s="2">
        <v>35</v>
      </c>
      <c r="C36" s="2">
        <v>45</v>
      </c>
      <c r="E36" s="2" t="b">
        <f>ISPRIME(B36)</f>
        <v>0</v>
      </c>
      <c r="F36" s="2" t="b">
        <f>ISPRIME(C36)</f>
        <v>0</v>
      </c>
      <c r="G36" s="2" t="str">
        <f t="shared" si="31"/>
        <v/>
      </c>
      <c r="H36" s="2" t="str">
        <f t="shared" si="32"/>
        <v/>
      </c>
      <c r="K36" s="2" t="b">
        <f t="shared" si="33"/>
        <v>0</v>
      </c>
      <c r="L36" s="2" t="b">
        <f t="shared" si="34"/>
        <v>0</v>
      </c>
      <c r="M36" s="2" t="b">
        <f t="shared" si="35"/>
        <v>0</v>
      </c>
      <c r="N36" s="2" t="b">
        <f t="shared" si="36"/>
        <v>1</v>
      </c>
      <c r="Q36" s="2" t="b">
        <f t="shared" si="41"/>
        <v>1</v>
      </c>
      <c r="R36" s="2" t="b">
        <f t="shared" si="42"/>
        <v>0</v>
      </c>
      <c r="S36" s="2" t="b">
        <f t="shared" si="43"/>
        <v>1</v>
      </c>
      <c r="T36" s="2" t="b">
        <f t="shared" si="44"/>
        <v>0</v>
      </c>
      <c r="U36" s="2">
        <f t="shared" si="45"/>
        <v>35</v>
      </c>
      <c r="V36" s="2" t="str">
        <f t="shared" si="46"/>
        <v/>
      </c>
      <c r="W36" s="2">
        <f t="shared" si="47"/>
        <v>45</v>
      </c>
      <c r="X36" s="2" t="str">
        <f t="shared" si="48"/>
        <v/>
      </c>
      <c r="Y36" s="2" t="b">
        <f t="shared" si="49"/>
        <v>1</v>
      </c>
      <c r="Z36" s="2" t="b">
        <f t="shared" si="50"/>
        <v>0</v>
      </c>
      <c r="AA36" s="2" t="b">
        <f t="shared" si="51"/>
        <v>1</v>
      </c>
      <c r="AB36" s="2" t="b">
        <f t="shared" si="52"/>
        <v>0</v>
      </c>
      <c r="AC36" s="2" t="b">
        <f t="shared" si="53"/>
        <v>0</v>
      </c>
      <c r="AD36" s="2" t="b">
        <f t="shared" si="54"/>
        <v>0</v>
      </c>
      <c r="AF36" s="2">
        <f t="shared" si="55"/>
        <v>80</v>
      </c>
      <c r="AG36" s="2" t="b">
        <f t="shared" si="37"/>
        <v>0</v>
      </c>
      <c r="AH36" s="2" t="b">
        <f t="shared" si="38"/>
        <v>1</v>
      </c>
      <c r="AI36" s="2" t="str">
        <f t="shared" si="39"/>
        <v/>
      </c>
      <c r="AJ36" s="2">
        <f t="shared" si="40"/>
        <v>80</v>
      </c>
      <c r="AK36" s="2" t="b">
        <f t="shared" si="56"/>
        <v>0</v>
      </c>
      <c r="AL36" s="2" t="b">
        <f t="shared" si="57"/>
        <v>1</v>
      </c>
      <c r="AM36" s="2" t="b">
        <f t="shared" si="58"/>
        <v>0</v>
      </c>
      <c r="AN36" s="2" t="b">
        <f t="shared" si="59"/>
        <v>0</v>
      </c>
      <c r="AO36" s="2" t="str">
        <f t="shared" si="60"/>
        <v/>
      </c>
      <c r="AP36" s="2">
        <f t="shared" si="61"/>
        <v>35</v>
      </c>
      <c r="AQ36" s="2" t="str">
        <f t="shared" si="62"/>
        <v/>
      </c>
      <c r="AR36" s="2">
        <f t="shared" si="63"/>
        <v>45</v>
      </c>
      <c r="AS36" s="2" t="str">
        <f t="shared" si="64"/>
        <v/>
      </c>
      <c r="AT36" s="2">
        <f t="shared" si="65"/>
        <v>35</v>
      </c>
      <c r="AU36" s="2" t="str">
        <f t="shared" si="66"/>
        <v/>
      </c>
      <c r="AV36" s="2" t="str">
        <f t="shared" si="67"/>
        <v/>
      </c>
      <c r="AW36" s="2" t="str">
        <f t="shared" si="68"/>
        <v/>
      </c>
      <c r="AX36" s="2">
        <f t="shared" si="69"/>
        <v>45</v>
      </c>
      <c r="AY36" s="2" t="str">
        <f t="shared" si="70"/>
        <v/>
      </c>
      <c r="AZ36" s="2" t="str">
        <f t="shared" si="71"/>
        <v/>
      </c>
    </row>
    <row r="37" spans="2:52" hidden="1" outlineLevel="2" x14ac:dyDescent="0.25">
      <c r="B37" s="2">
        <v>36</v>
      </c>
      <c r="C37" s="2">
        <v>83</v>
      </c>
      <c r="E37" s="2" t="b">
        <f>ISPRIME(B37)</f>
        <v>0</v>
      </c>
      <c r="F37" s="2" t="b">
        <f>ISPRIME(C37)</f>
        <v>1</v>
      </c>
      <c r="G37" s="2" t="str">
        <f t="shared" si="31"/>
        <v/>
      </c>
      <c r="H37" s="2">
        <f t="shared" si="32"/>
        <v>83</v>
      </c>
      <c r="K37" s="2" t="b">
        <f t="shared" si="33"/>
        <v>0</v>
      </c>
      <c r="L37" s="2" t="b">
        <f t="shared" si="34"/>
        <v>0</v>
      </c>
      <c r="M37" s="2" t="b">
        <f t="shared" si="35"/>
        <v>1</v>
      </c>
      <c r="N37" s="2" t="b">
        <f t="shared" si="36"/>
        <v>0</v>
      </c>
      <c r="Q37" s="2" t="b">
        <f t="shared" si="41"/>
        <v>0</v>
      </c>
      <c r="R37" s="2" t="b">
        <f t="shared" si="42"/>
        <v>1</v>
      </c>
      <c r="S37" s="2" t="b">
        <f t="shared" si="43"/>
        <v>1</v>
      </c>
      <c r="T37" s="2" t="b">
        <f t="shared" si="44"/>
        <v>0</v>
      </c>
      <c r="U37" s="2" t="str">
        <f t="shared" si="45"/>
        <v/>
      </c>
      <c r="V37" s="2">
        <f t="shared" si="46"/>
        <v>36</v>
      </c>
      <c r="W37" s="2">
        <f t="shared" si="47"/>
        <v>83</v>
      </c>
      <c r="X37" s="2" t="str">
        <f t="shared" si="48"/>
        <v/>
      </c>
      <c r="Y37" s="2" t="b">
        <f t="shared" si="49"/>
        <v>0</v>
      </c>
      <c r="Z37" s="2" t="b">
        <f t="shared" si="50"/>
        <v>1</v>
      </c>
      <c r="AA37" s="2" t="b">
        <f t="shared" si="51"/>
        <v>0</v>
      </c>
      <c r="AB37" s="2" t="b">
        <f t="shared" si="52"/>
        <v>1</v>
      </c>
      <c r="AC37" s="2" t="b">
        <f t="shared" si="53"/>
        <v>0</v>
      </c>
      <c r="AD37" s="2" t="b">
        <f t="shared" si="54"/>
        <v>0</v>
      </c>
      <c r="AF37" s="2">
        <f t="shared" si="55"/>
        <v>119</v>
      </c>
      <c r="AG37" s="2" t="b">
        <f t="shared" si="37"/>
        <v>1</v>
      </c>
      <c r="AH37" s="2" t="b">
        <f t="shared" si="38"/>
        <v>0</v>
      </c>
      <c r="AI37" s="2">
        <f t="shared" si="39"/>
        <v>119</v>
      </c>
      <c r="AJ37" s="2" t="str">
        <f t="shared" si="40"/>
        <v/>
      </c>
      <c r="AK37" s="2" t="b">
        <f t="shared" si="56"/>
        <v>0</v>
      </c>
      <c r="AL37" s="2" t="b">
        <f t="shared" si="57"/>
        <v>0</v>
      </c>
      <c r="AM37" s="2" t="b">
        <f t="shared" si="58"/>
        <v>1</v>
      </c>
      <c r="AN37" s="2" t="b">
        <f t="shared" si="59"/>
        <v>0</v>
      </c>
      <c r="AO37" s="2">
        <f t="shared" si="60"/>
        <v>36</v>
      </c>
      <c r="AP37" s="2" t="str">
        <f t="shared" si="61"/>
        <v/>
      </c>
      <c r="AQ37" s="2">
        <f t="shared" si="62"/>
        <v>83</v>
      </c>
      <c r="AR37" s="2" t="str">
        <f t="shared" si="63"/>
        <v/>
      </c>
      <c r="AS37" s="2" t="str">
        <f t="shared" si="64"/>
        <v/>
      </c>
      <c r="AT37" s="2" t="str">
        <f t="shared" si="65"/>
        <v/>
      </c>
      <c r="AU37" s="2">
        <f t="shared" si="66"/>
        <v>36</v>
      </c>
      <c r="AV37" s="2" t="str">
        <f t="shared" si="67"/>
        <v/>
      </c>
      <c r="AW37" s="2">
        <f t="shared" si="68"/>
        <v>83</v>
      </c>
      <c r="AX37" s="2" t="str">
        <f t="shared" si="69"/>
        <v/>
      </c>
      <c r="AY37" s="2" t="str">
        <f t="shared" si="70"/>
        <v/>
      </c>
      <c r="AZ37" s="2" t="str">
        <f t="shared" si="71"/>
        <v/>
      </c>
    </row>
    <row r="38" spans="2:52" hidden="1" outlineLevel="2" x14ac:dyDescent="0.25">
      <c r="B38" s="2">
        <v>37</v>
      </c>
      <c r="C38" s="2">
        <v>182</v>
      </c>
      <c r="E38" s="2" t="b">
        <f>ISPRIME(B38)</f>
        <v>1</v>
      </c>
      <c r="F38" s="2" t="b">
        <f>ISPRIME(C38)</f>
        <v>0</v>
      </c>
      <c r="G38" s="2">
        <f t="shared" si="31"/>
        <v>37</v>
      </c>
      <c r="H38" s="2" t="str">
        <f t="shared" si="32"/>
        <v/>
      </c>
      <c r="K38" s="2" t="b">
        <f t="shared" si="33"/>
        <v>0</v>
      </c>
      <c r="L38" s="2" t="b">
        <f t="shared" si="34"/>
        <v>1</v>
      </c>
      <c r="M38" s="2" t="b">
        <f t="shared" si="35"/>
        <v>0</v>
      </c>
      <c r="N38" s="2" t="b">
        <f t="shared" si="36"/>
        <v>0</v>
      </c>
      <c r="Q38" s="2" t="b">
        <f t="shared" si="41"/>
        <v>1</v>
      </c>
      <c r="R38" s="2" t="b">
        <f t="shared" si="42"/>
        <v>0</v>
      </c>
      <c r="S38" s="2" t="b">
        <f t="shared" si="43"/>
        <v>0</v>
      </c>
      <c r="T38" s="2" t="b">
        <f t="shared" si="44"/>
        <v>1</v>
      </c>
      <c r="U38" s="2">
        <f t="shared" si="45"/>
        <v>37</v>
      </c>
      <c r="V38" s="2" t="str">
        <f t="shared" si="46"/>
        <v/>
      </c>
      <c r="W38" s="2" t="str">
        <f t="shared" si="47"/>
        <v/>
      </c>
      <c r="X38" s="2">
        <f t="shared" si="48"/>
        <v>182</v>
      </c>
      <c r="Y38" s="2" t="b">
        <f t="shared" si="49"/>
        <v>0</v>
      </c>
      <c r="Z38" s="2" t="b">
        <f t="shared" si="50"/>
        <v>1</v>
      </c>
      <c r="AA38" s="2" t="b">
        <f t="shared" si="51"/>
        <v>0</v>
      </c>
      <c r="AB38" s="2" t="b">
        <f t="shared" si="52"/>
        <v>0</v>
      </c>
      <c r="AC38" s="2" t="b">
        <f t="shared" si="53"/>
        <v>0</v>
      </c>
      <c r="AD38" s="2" t="b">
        <f t="shared" si="54"/>
        <v>1</v>
      </c>
      <c r="AF38" s="2">
        <f t="shared" si="55"/>
        <v>219</v>
      </c>
      <c r="AG38" s="2" t="b">
        <f t="shared" si="37"/>
        <v>1</v>
      </c>
      <c r="AH38" s="2" t="b">
        <f t="shared" si="38"/>
        <v>0</v>
      </c>
      <c r="AI38" s="2">
        <f t="shared" si="39"/>
        <v>219</v>
      </c>
      <c r="AJ38" s="2" t="str">
        <f t="shared" si="40"/>
        <v/>
      </c>
      <c r="AK38" s="2" t="b">
        <f t="shared" si="56"/>
        <v>1</v>
      </c>
      <c r="AL38" s="2" t="b">
        <f t="shared" si="57"/>
        <v>0</v>
      </c>
      <c r="AM38" s="2" t="b">
        <f t="shared" si="58"/>
        <v>0</v>
      </c>
      <c r="AN38" s="2" t="b">
        <f t="shared" si="59"/>
        <v>0</v>
      </c>
      <c r="AO38" s="2">
        <f t="shared" si="60"/>
        <v>37</v>
      </c>
      <c r="AP38" s="2" t="str">
        <f t="shared" si="61"/>
        <v/>
      </c>
      <c r="AQ38" s="2">
        <f t="shared" si="62"/>
        <v>182</v>
      </c>
      <c r="AR38" s="2" t="str">
        <f t="shared" si="63"/>
        <v/>
      </c>
      <c r="AS38" s="2">
        <f t="shared" si="64"/>
        <v>37</v>
      </c>
      <c r="AT38" s="2" t="str">
        <f t="shared" si="65"/>
        <v/>
      </c>
      <c r="AU38" s="2" t="str">
        <f t="shared" si="66"/>
        <v/>
      </c>
      <c r="AV38" s="2" t="str">
        <f t="shared" si="67"/>
        <v/>
      </c>
      <c r="AW38" s="2" t="str">
        <f t="shared" si="68"/>
        <v/>
      </c>
      <c r="AX38" s="2" t="str">
        <f t="shared" si="69"/>
        <v/>
      </c>
      <c r="AY38" s="2">
        <f t="shared" si="70"/>
        <v>182</v>
      </c>
      <c r="AZ38" s="2" t="str">
        <f t="shared" si="71"/>
        <v/>
      </c>
    </row>
    <row r="39" spans="2:52" hidden="1" outlineLevel="2" x14ac:dyDescent="0.25">
      <c r="B39" s="2">
        <v>38</v>
      </c>
      <c r="C39" s="2">
        <v>88</v>
      </c>
      <c r="E39" s="2" t="b">
        <f>ISPRIME(B39)</f>
        <v>0</v>
      </c>
      <c r="F39" s="2" t="b">
        <f>ISPRIME(C39)</f>
        <v>0</v>
      </c>
      <c r="G39" s="2" t="str">
        <f t="shared" si="31"/>
        <v/>
      </c>
      <c r="H39" s="2" t="str">
        <f t="shared" si="32"/>
        <v/>
      </c>
      <c r="K39" s="2" t="b">
        <f t="shared" si="33"/>
        <v>0</v>
      </c>
      <c r="L39" s="2" t="b">
        <f t="shared" si="34"/>
        <v>0</v>
      </c>
      <c r="M39" s="2" t="b">
        <f t="shared" si="35"/>
        <v>0</v>
      </c>
      <c r="N39" s="2" t="b">
        <f t="shared" si="36"/>
        <v>1</v>
      </c>
      <c r="Q39" s="2" t="b">
        <f t="shared" si="41"/>
        <v>0</v>
      </c>
      <c r="R39" s="2" t="b">
        <f t="shared" si="42"/>
        <v>1</v>
      </c>
      <c r="S39" s="2" t="b">
        <f t="shared" si="43"/>
        <v>0</v>
      </c>
      <c r="T39" s="2" t="b">
        <f t="shared" si="44"/>
        <v>1</v>
      </c>
      <c r="U39" s="2" t="str">
        <f t="shared" si="45"/>
        <v/>
      </c>
      <c r="V39" s="2">
        <f t="shared" si="46"/>
        <v>38</v>
      </c>
      <c r="W39" s="2" t="str">
        <f t="shared" si="47"/>
        <v/>
      </c>
      <c r="X39" s="2">
        <f t="shared" si="48"/>
        <v>88</v>
      </c>
      <c r="Y39" s="2" t="b">
        <f t="shared" si="49"/>
        <v>1</v>
      </c>
      <c r="Z39" s="2" t="b">
        <f t="shared" si="50"/>
        <v>0</v>
      </c>
      <c r="AA39" s="2" t="b">
        <f t="shared" si="51"/>
        <v>0</v>
      </c>
      <c r="AB39" s="2" t="b">
        <f t="shared" si="52"/>
        <v>0</v>
      </c>
      <c r="AC39" s="2" t="b">
        <f t="shared" si="53"/>
        <v>1</v>
      </c>
      <c r="AD39" s="2" t="b">
        <f t="shared" si="54"/>
        <v>0</v>
      </c>
      <c r="AF39" s="2">
        <f t="shared" si="55"/>
        <v>126</v>
      </c>
      <c r="AG39" s="2" t="b">
        <f t="shared" si="37"/>
        <v>0</v>
      </c>
      <c r="AH39" s="2" t="b">
        <f t="shared" si="38"/>
        <v>1</v>
      </c>
      <c r="AI39" s="2" t="str">
        <f t="shared" si="39"/>
        <v/>
      </c>
      <c r="AJ39" s="2">
        <f t="shared" si="40"/>
        <v>126</v>
      </c>
      <c r="AK39" s="2" t="b">
        <f t="shared" si="56"/>
        <v>0</v>
      </c>
      <c r="AL39" s="2" t="b">
        <f t="shared" si="57"/>
        <v>0</v>
      </c>
      <c r="AM39" s="2" t="b">
        <f t="shared" si="58"/>
        <v>0</v>
      </c>
      <c r="AN39" s="2" t="b">
        <f t="shared" si="59"/>
        <v>1</v>
      </c>
      <c r="AO39" s="2" t="str">
        <f t="shared" si="60"/>
        <v/>
      </c>
      <c r="AP39" s="2">
        <f t="shared" si="61"/>
        <v>38</v>
      </c>
      <c r="AQ39" s="2" t="str">
        <f t="shared" si="62"/>
        <v/>
      </c>
      <c r="AR39" s="2">
        <f t="shared" si="63"/>
        <v>88</v>
      </c>
      <c r="AS39" s="2" t="str">
        <f t="shared" si="64"/>
        <v/>
      </c>
      <c r="AT39" s="2" t="str">
        <f t="shared" si="65"/>
        <v/>
      </c>
      <c r="AU39" s="2" t="str">
        <f t="shared" si="66"/>
        <v/>
      </c>
      <c r="AV39" s="2">
        <f t="shared" si="67"/>
        <v>38</v>
      </c>
      <c r="AW39" s="2" t="str">
        <f t="shared" si="68"/>
        <v/>
      </c>
      <c r="AX39" s="2" t="str">
        <f t="shared" si="69"/>
        <v/>
      </c>
      <c r="AY39" s="2" t="str">
        <f t="shared" si="70"/>
        <v/>
      </c>
      <c r="AZ39" s="2">
        <f t="shared" si="71"/>
        <v>88</v>
      </c>
    </row>
    <row r="40" spans="2:52" hidden="1" outlineLevel="2" x14ac:dyDescent="0.25">
      <c r="B40" s="2">
        <v>39</v>
      </c>
      <c r="C40" s="2">
        <v>75</v>
      </c>
      <c r="E40" s="2" t="b">
        <f>ISPRIME(B40)</f>
        <v>0</v>
      </c>
      <c r="F40" s="2" t="b">
        <f>ISPRIME(C40)</f>
        <v>0</v>
      </c>
      <c r="G40" s="2" t="str">
        <f t="shared" si="31"/>
        <v/>
      </c>
      <c r="H40" s="2" t="str">
        <f t="shared" si="32"/>
        <v/>
      </c>
      <c r="K40" s="2" t="b">
        <f t="shared" si="33"/>
        <v>0</v>
      </c>
      <c r="L40" s="2" t="b">
        <f t="shared" si="34"/>
        <v>0</v>
      </c>
      <c r="M40" s="2" t="b">
        <f t="shared" si="35"/>
        <v>0</v>
      </c>
      <c r="N40" s="2" t="b">
        <f t="shared" si="36"/>
        <v>1</v>
      </c>
      <c r="Q40" s="2" t="b">
        <f t="shared" si="41"/>
        <v>1</v>
      </c>
      <c r="R40" s="2" t="b">
        <f t="shared" si="42"/>
        <v>0</v>
      </c>
      <c r="S40" s="2" t="b">
        <f t="shared" si="43"/>
        <v>1</v>
      </c>
      <c r="T40" s="2" t="b">
        <f t="shared" si="44"/>
        <v>0</v>
      </c>
      <c r="U40" s="2">
        <f t="shared" si="45"/>
        <v>39</v>
      </c>
      <c r="V40" s="2" t="str">
        <f t="shared" si="46"/>
        <v/>
      </c>
      <c r="W40" s="2">
        <f t="shared" si="47"/>
        <v>75</v>
      </c>
      <c r="X40" s="2" t="str">
        <f t="shared" si="48"/>
        <v/>
      </c>
      <c r="Y40" s="2" t="b">
        <f t="shared" si="49"/>
        <v>1</v>
      </c>
      <c r="Z40" s="2" t="b">
        <f t="shared" si="50"/>
        <v>0</v>
      </c>
      <c r="AA40" s="2" t="b">
        <f t="shared" si="51"/>
        <v>1</v>
      </c>
      <c r="AB40" s="2" t="b">
        <f t="shared" si="52"/>
        <v>0</v>
      </c>
      <c r="AC40" s="2" t="b">
        <f t="shared" si="53"/>
        <v>0</v>
      </c>
      <c r="AD40" s="2" t="b">
        <f t="shared" si="54"/>
        <v>0</v>
      </c>
      <c r="AF40" s="2">
        <f t="shared" si="55"/>
        <v>114</v>
      </c>
      <c r="AG40" s="2" t="b">
        <f t="shared" si="37"/>
        <v>0</v>
      </c>
      <c r="AH40" s="2" t="b">
        <f t="shared" si="38"/>
        <v>1</v>
      </c>
      <c r="AI40" s="2" t="str">
        <f t="shared" si="39"/>
        <v/>
      </c>
      <c r="AJ40" s="2">
        <f t="shared" si="40"/>
        <v>114</v>
      </c>
      <c r="AK40" s="2" t="b">
        <f t="shared" si="56"/>
        <v>0</v>
      </c>
      <c r="AL40" s="2" t="b">
        <f t="shared" si="57"/>
        <v>1</v>
      </c>
      <c r="AM40" s="2" t="b">
        <f t="shared" si="58"/>
        <v>0</v>
      </c>
      <c r="AN40" s="2" t="b">
        <f t="shared" si="59"/>
        <v>0</v>
      </c>
      <c r="AO40" s="2" t="str">
        <f t="shared" si="60"/>
        <v/>
      </c>
      <c r="AP40" s="2">
        <f t="shared" si="61"/>
        <v>39</v>
      </c>
      <c r="AQ40" s="2" t="str">
        <f t="shared" si="62"/>
        <v/>
      </c>
      <c r="AR40" s="2">
        <f t="shared" si="63"/>
        <v>75</v>
      </c>
      <c r="AS40" s="2" t="str">
        <f t="shared" si="64"/>
        <v/>
      </c>
      <c r="AT40" s="2">
        <f t="shared" si="65"/>
        <v>39</v>
      </c>
      <c r="AU40" s="2" t="str">
        <f t="shared" si="66"/>
        <v/>
      </c>
      <c r="AV40" s="2" t="str">
        <f t="shared" si="67"/>
        <v/>
      </c>
      <c r="AW40" s="2" t="str">
        <f t="shared" si="68"/>
        <v/>
      </c>
      <c r="AX40" s="2">
        <f t="shared" si="69"/>
        <v>75</v>
      </c>
      <c r="AY40" s="2" t="str">
        <f t="shared" si="70"/>
        <v/>
      </c>
      <c r="AZ40" s="2" t="str">
        <f t="shared" si="71"/>
        <v/>
      </c>
    </row>
    <row r="41" spans="2:52" hidden="1" outlineLevel="2" x14ac:dyDescent="0.25">
      <c r="B41" s="2">
        <v>40</v>
      </c>
      <c r="C41" s="2">
        <v>85</v>
      </c>
      <c r="E41" s="2" t="b">
        <f>ISPRIME(B41)</f>
        <v>0</v>
      </c>
      <c r="F41" s="2" t="b">
        <f>ISPRIME(C41)</f>
        <v>0</v>
      </c>
      <c r="G41" s="2" t="str">
        <f t="shared" si="31"/>
        <v/>
      </c>
      <c r="H41" s="2" t="str">
        <f t="shared" si="32"/>
        <v/>
      </c>
      <c r="K41" s="2" t="b">
        <f t="shared" si="33"/>
        <v>0</v>
      </c>
      <c r="L41" s="2" t="b">
        <f t="shared" si="34"/>
        <v>0</v>
      </c>
      <c r="M41" s="2" t="b">
        <f t="shared" si="35"/>
        <v>0</v>
      </c>
      <c r="N41" s="2" t="b">
        <f t="shared" si="36"/>
        <v>1</v>
      </c>
      <c r="Q41" s="2" t="b">
        <f t="shared" si="41"/>
        <v>0</v>
      </c>
      <c r="R41" s="2" t="b">
        <f t="shared" si="42"/>
        <v>1</v>
      </c>
      <c r="S41" s="2" t="b">
        <f t="shared" si="43"/>
        <v>1</v>
      </c>
      <c r="T41" s="2" t="b">
        <f t="shared" si="44"/>
        <v>0</v>
      </c>
      <c r="U41" s="2" t="str">
        <f t="shared" si="45"/>
        <v/>
      </c>
      <c r="V41" s="2">
        <f t="shared" si="46"/>
        <v>40</v>
      </c>
      <c r="W41" s="2">
        <f t="shared" si="47"/>
        <v>85</v>
      </c>
      <c r="X41" s="2" t="str">
        <f t="shared" si="48"/>
        <v/>
      </c>
      <c r="Y41" s="2" t="b">
        <f t="shared" si="49"/>
        <v>0</v>
      </c>
      <c r="Z41" s="2" t="b">
        <f t="shared" si="50"/>
        <v>1</v>
      </c>
      <c r="AA41" s="2" t="b">
        <f t="shared" si="51"/>
        <v>0</v>
      </c>
      <c r="AB41" s="2" t="b">
        <f t="shared" si="52"/>
        <v>1</v>
      </c>
      <c r="AC41" s="2" t="b">
        <f t="shared" si="53"/>
        <v>0</v>
      </c>
      <c r="AD41" s="2" t="b">
        <f t="shared" si="54"/>
        <v>0</v>
      </c>
      <c r="AF41" s="2">
        <f t="shared" si="55"/>
        <v>125</v>
      </c>
      <c r="AG41" s="2" t="b">
        <f t="shared" si="37"/>
        <v>1</v>
      </c>
      <c r="AH41" s="2" t="b">
        <f t="shared" si="38"/>
        <v>0</v>
      </c>
      <c r="AI41" s="2">
        <f t="shared" si="39"/>
        <v>125</v>
      </c>
      <c r="AJ41" s="2" t="str">
        <f t="shared" si="40"/>
        <v/>
      </c>
      <c r="AK41" s="2" t="b">
        <f t="shared" si="56"/>
        <v>0</v>
      </c>
      <c r="AL41" s="2" t="b">
        <f t="shared" si="57"/>
        <v>0</v>
      </c>
      <c r="AM41" s="2" t="b">
        <f t="shared" si="58"/>
        <v>1</v>
      </c>
      <c r="AN41" s="2" t="b">
        <f t="shared" si="59"/>
        <v>0</v>
      </c>
      <c r="AO41" s="2">
        <f t="shared" si="60"/>
        <v>40</v>
      </c>
      <c r="AP41" s="2" t="str">
        <f t="shared" si="61"/>
        <v/>
      </c>
      <c r="AQ41" s="2">
        <f t="shared" si="62"/>
        <v>85</v>
      </c>
      <c r="AR41" s="2" t="str">
        <f t="shared" si="63"/>
        <v/>
      </c>
      <c r="AS41" s="2" t="str">
        <f t="shared" si="64"/>
        <v/>
      </c>
      <c r="AT41" s="2" t="str">
        <f t="shared" si="65"/>
        <v/>
      </c>
      <c r="AU41" s="2">
        <f t="shared" si="66"/>
        <v>40</v>
      </c>
      <c r="AV41" s="2" t="str">
        <f t="shared" si="67"/>
        <v/>
      </c>
      <c r="AW41" s="2">
        <f t="shared" si="68"/>
        <v>85</v>
      </c>
      <c r="AX41" s="2" t="str">
        <f t="shared" si="69"/>
        <v/>
      </c>
      <c r="AY41" s="2" t="str">
        <f t="shared" si="70"/>
        <v/>
      </c>
      <c r="AZ41" s="2" t="str">
        <f t="shared" si="71"/>
        <v/>
      </c>
    </row>
    <row r="42" spans="2:52" hidden="1" outlineLevel="2" x14ac:dyDescent="0.25">
      <c r="B42" s="2">
        <v>41</v>
      </c>
      <c r="C42" s="2">
        <v>54</v>
      </c>
      <c r="E42" s="2" t="b">
        <f>ISPRIME(B42)</f>
        <v>1</v>
      </c>
      <c r="F42" s="2" t="b">
        <f>ISPRIME(C42)</f>
        <v>0</v>
      </c>
      <c r="G42" s="2">
        <f t="shared" si="31"/>
        <v>41</v>
      </c>
      <c r="H42" s="2" t="str">
        <f t="shared" si="32"/>
        <v/>
      </c>
      <c r="K42" s="2" t="b">
        <f t="shared" si="33"/>
        <v>0</v>
      </c>
      <c r="L42" s="2" t="b">
        <f t="shared" si="34"/>
        <v>1</v>
      </c>
      <c r="M42" s="2" t="b">
        <f t="shared" si="35"/>
        <v>0</v>
      </c>
      <c r="N42" s="2" t="b">
        <f t="shared" si="36"/>
        <v>0</v>
      </c>
      <c r="Q42" s="2" t="b">
        <f t="shared" si="41"/>
        <v>1</v>
      </c>
      <c r="R42" s="2" t="b">
        <f t="shared" si="42"/>
        <v>0</v>
      </c>
      <c r="S42" s="2" t="b">
        <f t="shared" si="43"/>
        <v>0</v>
      </c>
      <c r="T42" s="2" t="b">
        <f t="shared" si="44"/>
        <v>1</v>
      </c>
      <c r="U42" s="2">
        <f t="shared" si="45"/>
        <v>41</v>
      </c>
      <c r="V42" s="2" t="str">
        <f t="shared" si="46"/>
        <v/>
      </c>
      <c r="W42" s="2" t="str">
        <f t="shared" si="47"/>
        <v/>
      </c>
      <c r="X42" s="2">
        <f t="shared" si="48"/>
        <v>54</v>
      </c>
      <c r="Y42" s="2" t="b">
        <f t="shared" si="49"/>
        <v>0</v>
      </c>
      <c r="Z42" s="2" t="b">
        <f t="shared" si="50"/>
        <v>1</v>
      </c>
      <c r="AA42" s="2" t="b">
        <f t="shared" si="51"/>
        <v>0</v>
      </c>
      <c r="AB42" s="2" t="b">
        <f t="shared" si="52"/>
        <v>0</v>
      </c>
      <c r="AC42" s="2" t="b">
        <f t="shared" si="53"/>
        <v>0</v>
      </c>
      <c r="AD42" s="2" t="b">
        <f t="shared" si="54"/>
        <v>1</v>
      </c>
      <c r="AF42" s="2">
        <f t="shared" si="55"/>
        <v>95</v>
      </c>
      <c r="AG42" s="2" t="b">
        <f t="shared" si="37"/>
        <v>1</v>
      </c>
      <c r="AH42" s="2" t="b">
        <f t="shared" si="38"/>
        <v>0</v>
      </c>
      <c r="AI42" s="2">
        <f t="shared" si="39"/>
        <v>95</v>
      </c>
      <c r="AJ42" s="2" t="str">
        <f t="shared" si="40"/>
        <v/>
      </c>
      <c r="AK42" s="2" t="b">
        <f t="shared" si="56"/>
        <v>1</v>
      </c>
      <c r="AL42" s="2" t="b">
        <f t="shared" si="57"/>
        <v>0</v>
      </c>
      <c r="AM42" s="2" t="b">
        <f t="shared" si="58"/>
        <v>0</v>
      </c>
      <c r="AN42" s="2" t="b">
        <f t="shared" si="59"/>
        <v>0</v>
      </c>
      <c r="AO42" s="2">
        <f t="shared" si="60"/>
        <v>41</v>
      </c>
      <c r="AP42" s="2" t="str">
        <f t="shared" si="61"/>
        <v/>
      </c>
      <c r="AQ42" s="2">
        <f t="shared" si="62"/>
        <v>54</v>
      </c>
      <c r="AR42" s="2" t="str">
        <f t="shared" si="63"/>
        <v/>
      </c>
      <c r="AS42" s="2">
        <f t="shared" si="64"/>
        <v>41</v>
      </c>
      <c r="AT42" s="2" t="str">
        <f t="shared" si="65"/>
        <v/>
      </c>
      <c r="AU42" s="2" t="str">
        <f t="shared" si="66"/>
        <v/>
      </c>
      <c r="AV42" s="2" t="str">
        <f t="shared" si="67"/>
        <v/>
      </c>
      <c r="AW42" s="2" t="str">
        <f t="shared" si="68"/>
        <v/>
      </c>
      <c r="AX42" s="2" t="str">
        <f t="shared" si="69"/>
        <v/>
      </c>
      <c r="AY42" s="2">
        <f t="shared" si="70"/>
        <v>54</v>
      </c>
      <c r="AZ42" s="2" t="str">
        <f t="shared" si="71"/>
        <v/>
      </c>
    </row>
    <row r="43" spans="2:52" hidden="1" outlineLevel="2" x14ac:dyDescent="0.25">
      <c r="B43" s="2">
        <v>42</v>
      </c>
      <c r="C43" s="2">
        <v>53</v>
      </c>
      <c r="E43" s="2" t="b">
        <f>ISPRIME(B43)</f>
        <v>0</v>
      </c>
      <c r="F43" s="2" t="b">
        <f>ISPRIME(C43)</f>
        <v>1</v>
      </c>
      <c r="G43" s="2" t="str">
        <f t="shared" si="31"/>
        <v/>
      </c>
      <c r="H43" s="2">
        <f t="shared" si="32"/>
        <v>53</v>
      </c>
      <c r="K43" s="2" t="b">
        <f t="shared" si="33"/>
        <v>0</v>
      </c>
      <c r="L43" s="2" t="b">
        <f t="shared" si="34"/>
        <v>0</v>
      </c>
      <c r="M43" s="2" t="b">
        <f t="shared" si="35"/>
        <v>1</v>
      </c>
      <c r="N43" s="2" t="b">
        <f t="shared" si="36"/>
        <v>0</v>
      </c>
      <c r="Q43" s="2" t="b">
        <f t="shared" si="41"/>
        <v>0</v>
      </c>
      <c r="R43" s="2" t="b">
        <f t="shared" si="42"/>
        <v>1</v>
      </c>
      <c r="S43" s="2" t="b">
        <f t="shared" si="43"/>
        <v>1</v>
      </c>
      <c r="T43" s="2" t="b">
        <f t="shared" si="44"/>
        <v>0</v>
      </c>
      <c r="U43" s="2" t="str">
        <f t="shared" si="45"/>
        <v/>
      </c>
      <c r="V43" s="2">
        <f t="shared" si="46"/>
        <v>42</v>
      </c>
      <c r="W43" s="2">
        <f t="shared" si="47"/>
        <v>53</v>
      </c>
      <c r="X43" s="2" t="str">
        <f t="shared" si="48"/>
        <v/>
      </c>
      <c r="Y43" s="2" t="b">
        <f t="shared" si="49"/>
        <v>0</v>
      </c>
      <c r="Z43" s="2" t="b">
        <f t="shared" si="50"/>
        <v>1</v>
      </c>
      <c r="AA43" s="2" t="b">
        <f t="shared" si="51"/>
        <v>0</v>
      </c>
      <c r="AB43" s="2" t="b">
        <f t="shared" si="52"/>
        <v>1</v>
      </c>
      <c r="AC43" s="2" t="b">
        <f t="shared" si="53"/>
        <v>0</v>
      </c>
      <c r="AD43" s="2" t="b">
        <f t="shared" si="54"/>
        <v>0</v>
      </c>
      <c r="AF43" s="2">
        <f t="shared" si="55"/>
        <v>95</v>
      </c>
      <c r="AG43" s="2" t="b">
        <f t="shared" si="37"/>
        <v>1</v>
      </c>
      <c r="AH43" s="2" t="b">
        <f t="shared" si="38"/>
        <v>0</v>
      </c>
      <c r="AI43" s="2">
        <f t="shared" si="39"/>
        <v>95</v>
      </c>
      <c r="AJ43" s="2" t="str">
        <f t="shared" si="40"/>
        <v/>
      </c>
      <c r="AK43" s="2" t="b">
        <f t="shared" si="56"/>
        <v>0</v>
      </c>
      <c r="AL43" s="2" t="b">
        <f t="shared" si="57"/>
        <v>0</v>
      </c>
      <c r="AM43" s="2" t="b">
        <f t="shared" si="58"/>
        <v>1</v>
      </c>
      <c r="AN43" s="2" t="b">
        <f t="shared" si="59"/>
        <v>0</v>
      </c>
      <c r="AO43" s="2">
        <f t="shared" si="60"/>
        <v>42</v>
      </c>
      <c r="AP43" s="2" t="str">
        <f t="shared" si="61"/>
        <v/>
      </c>
      <c r="AQ43" s="2">
        <f t="shared" si="62"/>
        <v>53</v>
      </c>
      <c r="AR43" s="2" t="str">
        <f t="shared" si="63"/>
        <v/>
      </c>
      <c r="AS43" s="2" t="str">
        <f t="shared" si="64"/>
        <v/>
      </c>
      <c r="AT43" s="2" t="str">
        <f t="shared" si="65"/>
        <v/>
      </c>
      <c r="AU43" s="2">
        <f t="shared" si="66"/>
        <v>42</v>
      </c>
      <c r="AV43" s="2" t="str">
        <f t="shared" si="67"/>
        <v/>
      </c>
      <c r="AW43" s="2">
        <f t="shared" si="68"/>
        <v>53</v>
      </c>
      <c r="AX43" s="2" t="str">
        <f t="shared" si="69"/>
        <v/>
      </c>
      <c r="AY43" s="2" t="str">
        <f t="shared" si="70"/>
        <v/>
      </c>
      <c r="AZ43" s="2" t="str">
        <f t="shared" si="71"/>
        <v/>
      </c>
    </row>
    <row r="44" spans="2:52" hidden="1" outlineLevel="2" x14ac:dyDescent="0.25">
      <c r="B44" s="2">
        <v>43</v>
      </c>
      <c r="C44" s="2">
        <v>89</v>
      </c>
      <c r="E44" s="2" t="b">
        <f>ISPRIME(B44)</f>
        <v>1</v>
      </c>
      <c r="F44" s="2" t="b">
        <f>ISPRIME(C44)</f>
        <v>1</v>
      </c>
      <c r="G44" s="2">
        <f t="shared" si="31"/>
        <v>43</v>
      </c>
      <c r="H44" s="2">
        <f t="shared" si="32"/>
        <v>89</v>
      </c>
      <c r="K44" s="2" t="b">
        <f t="shared" si="33"/>
        <v>1</v>
      </c>
      <c r="L44" s="2" t="b">
        <f t="shared" si="34"/>
        <v>0</v>
      </c>
      <c r="M44" s="2" t="b">
        <f t="shared" si="35"/>
        <v>0</v>
      </c>
      <c r="N44" s="2" t="b">
        <f t="shared" si="36"/>
        <v>0</v>
      </c>
      <c r="Q44" s="2" t="b">
        <f t="shared" si="41"/>
        <v>1</v>
      </c>
      <c r="R44" s="2" t="b">
        <f t="shared" si="42"/>
        <v>0</v>
      </c>
      <c r="S44" s="2" t="b">
        <f t="shared" si="43"/>
        <v>1</v>
      </c>
      <c r="T44" s="2" t="b">
        <f t="shared" si="44"/>
        <v>0</v>
      </c>
      <c r="U44" s="2">
        <f t="shared" si="45"/>
        <v>43</v>
      </c>
      <c r="V44" s="2" t="str">
        <f t="shared" si="46"/>
        <v/>
      </c>
      <c r="W44" s="2">
        <f t="shared" si="47"/>
        <v>89</v>
      </c>
      <c r="X44" s="2" t="str">
        <f t="shared" si="48"/>
        <v/>
      </c>
      <c r="Y44" s="2" t="b">
        <f t="shared" si="49"/>
        <v>1</v>
      </c>
      <c r="Z44" s="2" t="b">
        <f t="shared" si="50"/>
        <v>0</v>
      </c>
      <c r="AA44" s="2" t="b">
        <f t="shared" si="51"/>
        <v>1</v>
      </c>
      <c r="AB44" s="2" t="b">
        <f t="shared" si="52"/>
        <v>0</v>
      </c>
      <c r="AC44" s="2" t="b">
        <f t="shared" si="53"/>
        <v>0</v>
      </c>
      <c r="AD44" s="2" t="b">
        <f t="shared" si="54"/>
        <v>0</v>
      </c>
      <c r="AF44" s="2">
        <f t="shared" si="55"/>
        <v>132</v>
      </c>
      <c r="AG44" s="2" t="b">
        <f t="shared" si="37"/>
        <v>0</v>
      </c>
      <c r="AH44" s="2" t="b">
        <f t="shared" si="38"/>
        <v>1</v>
      </c>
      <c r="AI44" s="2" t="str">
        <f t="shared" si="39"/>
        <v/>
      </c>
      <c r="AJ44" s="2">
        <f t="shared" si="40"/>
        <v>132</v>
      </c>
      <c r="AK44" s="2" t="b">
        <f t="shared" si="56"/>
        <v>0</v>
      </c>
      <c r="AL44" s="2" t="b">
        <f t="shared" si="57"/>
        <v>1</v>
      </c>
      <c r="AM44" s="2" t="b">
        <f t="shared" si="58"/>
        <v>0</v>
      </c>
      <c r="AN44" s="2" t="b">
        <f t="shared" si="59"/>
        <v>0</v>
      </c>
      <c r="AO44" s="2" t="str">
        <f t="shared" si="60"/>
        <v/>
      </c>
      <c r="AP44" s="2">
        <f t="shared" si="61"/>
        <v>43</v>
      </c>
      <c r="AQ44" s="2" t="str">
        <f t="shared" si="62"/>
        <v/>
      </c>
      <c r="AR44" s="2">
        <f t="shared" si="63"/>
        <v>89</v>
      </c>
      <c r="AS44" s="2" t="str">
        <f t="shared" si="64"/>
        <v/>
      </c>
      <c r="AT44" s="2">
        <f t="shared" si="65"/>
        <v>43</v>
      </c>
      <c r="AU44" s="2" t="str">
        <f t="shared" si="66"/>
        <v/>
      </c>
      <c r="AV44" s="2" t="str">
        <f t="shared" si="67"/>
        <v/>
      </c>
      <c r="AW44" s="2" t="str">
        <f t="shared" si="68"/>
        <v/>
      </c>
      <c r="AX44" s="2">
        <f t="shared" si="69"/>
        <v>89</v>
      </c>
      <c r="AY44" s="2" t="str">
        <f t="shared" si="70"/>
        <v/>
      </c>
      <c r="AZ44" s="2" t="str">
        <f t="shared" si="71"/>
        <v/>
      </c>
    </row>
    <row r="45" spans="2:52" hidden="1" outlineLevel="2" x14ac:dyDescent="0.25">
      <c r="B45" s="2">
        <v>44</v>
      </c>
      <c r="C45" s="2">
        <v>59</v>
      </c>
      <c r="E45" s="2" t="b">
        <f>ISPRIME(B45)</f>
        <v>0</v>
      </c>
      <c r="F45" s="2" t="b">
        <f>ISPRIME(C45)</f>
        <v>1</v>
      </c>
      <c r="G45" s="2" t="str">
        <f t="shared" si="31"/>
        <v/>
      </c>
      <c r="H45" s="2">
        <f t="shared" si="32"/>
        <v>59</v>
      </c>
      <c r="K45" s="2" t="b">
        <f t="shared" si="33"/>
        <v>0</v>
      </c>
      <c r="L45" s="2" t="b">
        <f t="shared" si="34"/>
        <v>0</v>
      </c>
      <c r="M45" s="2" t="b">
        <f t="shared" si="35"/>
        <v>1</v>
      </c>
      <c r="N45" s="2" t="b">
        <f t="shared" si="36"/>
        <v>0</v>
      </c>
      <c r="Q45" s="2" t="b">
        <f t="shared" si="41"/>
        <v>0</v>
      </c>
      <c r="R45" s="2" t="b">
        <f t="shared" si="42"/>
        <v>1</v>
      </c>
      <c r="S45" s="2" t="b">
        <f t="shared" si="43"/>
        <v>1</v>
      </c>
      <c r="T45" s="2" t="b">
        <f t="shared" si="44"/>
        <v>0</v>
      </c>
      <c r="U45" s="2" t="str">
        <f t="shared" si="45"/>
        <v/>
      </c>
      <c r="V45" s="2">
        <f t="shared" si="46"/>
        <v>44</v>
      </c>
      <c r="W45" s="2">
        <f t="shared" si="47"/>
        <v>59</v>
      </c>
      <c r="X45" s="2" t="str">
        <f t="shared" si="48"/>
        <v/>
      </c>
      <c r="Y45" s="2" t="b">
        <f t="shared" si="49"/>
        <v>0</v>
      </c>
      <c r="Z45" s="2" t="b">
        <f t="shared" si="50"/>
        <v>1</v>
      </c>
      <c r="AA45" s="2" t="b">
        <f t="shared" si="51"/>
        <v>0</v>
      </c>
      <c r="AB45" s="2" t="b">
        <f t="shared" si="52"/>
        <v>1</v>
      </c>
      <c r="AC45" s="2" t="b">
        <f t="shared" si="53"/>
        <v>0</v>
      </c>
      <c r="AD45" s="2" t="b">
        <f t="shared" si="54"/>
        <v>0</v>
      </c>
      <c r="AF45" s="2">
        <f t="shared" si="55"/>
        <v>103</v>
      </c>
      <c r="AG45" s="2" t="b">
        <f t="shared" si="37"/>
        <v>1</v>
      </c>
      <c r="AH45" s="2" t="b">
        <f t="shared" si="38"/>
        <v>0</v>
      </c>
      <c r="AI45" s="2">
        <f t="shared" si="39"/>
        <v>103</v>
      </c>
      <c r="AJ45" s="2" t="str">
        <f t="shared" si="40"/>
        <v/>
      </c>
      <c r="AK45" s="2" t="b">
        <f t="shared" si="56"/>
        <v>0</v>
      </c>
      <c r="AL45" s="2" t="b">
        <f t="shared" si="57"/>
        <v>0</v>
      </c>
      <c r="AM45" s="2" t="b">
        <f t="shared" si="58"/>
        <v>1</v>
      </c>
      <c r="AN45" s="2" t="b">
        <f t="shared" si="59"/>
        <v>0</v>
      </c>
      <c r="AO45" s="2">
        <f t="shared" si="60"/>
        <v>44</v>
      </c>
      <c r="AP45" s="2" t="str">
        <f t="shared" si="61"/>
        <v/>
      </c>
      <c r="AQ45" s="2">
        <f t="shared" si="62"/>
        <v>59</v>
      </c>
      <c r="AR45" s="2" t="str">
        <f t="shared" si="63"/>
        <v/>
      </c>
      <c r="AS45" s="2" t="str">
        <f t="shared" si="64"/>
        <v/>
      </c>
      <c r="AT45" s="2" t="str">
        <f t="shared" si="65"/>
        <v/>
      </c>
      <c r="AU45" s="2">
        <f t="shared" si="66"/>
        <v>44</v>
      </c>
      <c r="AV45" s="2" t="str">
        <f t="shared" si="67"/>
        <v/>
      </c>
      <c r="AW45" s="2">
        <f t="shared" si="68"/>
        <v>59</v>
      </c>
      <c r="AX45" s="2" t="str">
        <f t="shared" si="69"/>
        <v/>
      </c>
      <c r="AY45" s="2" t="str">
        <f t="shared" si="70"/>
        <v/>
      </c>
      <c r="AZ45" s="2" t="str">
        <f t="shared" si="71"/>
        <v/>
      </c>
    </row>
    <row r="46" spans="2:52" hidden="1" outlineLevel="2" x14ac:dyDescent="0.25">
      <c r="B46" s="2">
        <v>45</v>
      </c>
      <c r="C46" s="2">
        <v>37</v>
      </c>
      <c r="E46" s="2" t="b">
        <f>ISPRIME(B46)</f>
        <v>0</v>
      </c>
      <c r="F46" s="2" t="b">
        <f>ISPRIME(C46)</f>
        <v>1</v>
      </c>
      <c r="G46" s="2" t="str">
        <f t="shared" si="31"/>
        <v/>
      </c>
      <c r="H46" s="2">
        <f t="shared" si="32"/>
        <v>37</v>
      </c>
      <c r="K46" s="2" t="b">
        <f t="shared" si="33"/>
        <v>0</v>
      </c>
      <c r="L46" s="2" t="b">
        <f t="shared" si="34"/>
        <v>0</v>
      </c>
      <c r="M46" s="2" t="b">
        <f t="shared" si="35"/>
        <v>1</v>
      </c>
      <c r="N46" s="2" t="b">
        <f t="shared" si="36"/>
        <v>0</v>
      </c>
      <c r="Q46" s="2" t="b">
        <f t="shared" si="41"/>
        <v>1</v>
      </c>
      <c r="R46" s="2" t="b">
        <f t="shared" si="42"/>
        <v>0</v>
      </c>
      <c r="S46" s="2" t="b">
        <f t="shared" si="43"/>
        <v>1</v>
      </c>
      <c r="T46" s="2" t="b">
        <f t="shared" si="44"/>
        <v>0</v>
      </c>
      <c r="U46" s="2">
        <f t="shared" si="45"/>
        <v>45</v>
      </c>
      <c r="V46" s="2" t="str">
        <f t="shared" si="46"/>
        <v/>
      </c>
      <c r="W46" s="2">
        <f t="shared" si="47"/>
        <v>37</v>
      </c>
      <c r="X46" s="2" t="str">
        <f t="shared" si="48"/>
        <v/>
      </c>
      <c r="Y46" s="2" t="b">
        <f t="shared" si="49"/>
        <v>1</v>
      </c>
      <c r="Z46" s="2" t="b">
        <f t="shared" si="50"/>
        <v>0</v>
      </c>
      <c r="AA46" s="2" t="b">
        <f t="shared" si="51"/>
        <v>1</v>
      </c>
      <c r="AB46" s="2" t="b">
        <f t="shared" si="52"/>
        <v>0</v>
      </c>
      <c r="AC46" s="2" t="b">
        <f t="shared" si="53"/>
        <v>0</v>
      </c>
      <c r="AD46" s="2" t="b">
        <f t="shared" si="54"/>
        <v>0</v>
      </c>
      <c r="AF46" s="2">
        <f t="shared" si="55"/>
        <v>82</v>
      </c>
      <c r="AG46" s="2" t="b">
        <f t="shared" si="37"/>
        <v>0</v>
      </c>
      <c r="AH46" s="2" t="b">
        <f t="shared" si="38"/>
        <v>1</v>
      </c>
      <c r="AI46" s="2" t="str">
        <f t="shared" si="39"/>
        <v/>
      </c>
      <c r="AJ46" s="2">
        <f t="shared" si="40"/>
        <v>82</v>
      </c>
      <c r="AK46" s="2" t="b">
        <f t="shared" si="56"/>
        <v>0</v>
      </c>
      <c r="AL46" s="2" t="b">
        <f t="shared" si="57"/>
        <v>1</v>
      </c>
      <c r="AM46" s="2" t="b">
        <f t="shared" si="58"/>
        <v>0</v>
      </c>
      <c r="AN46" s="2" t="b">
        <f t="shared" si="59"/>
        <v>0</v>
      </c>
      <c r="AO46" s="2" t="str">
        <f t="shared" si="60"/>
        <v/>
      </c>
      <c r="AP46" s="2">
        <f t="shared" si="61"/>
        <v>45</v>
      </c>
      <c r="AQ46" s="2" t="str">
        <f t="shared" si="62"/>
        <v/>
      </c>
      <c r="AR46" s="2">
        <f t="shared" si="63"/>
        <v>37</v>
      </c>
      <c r="AS46" s="2" t="str">
        <f t="shared" si="64"/>
        <v/>
      </c>
      <c r="AT46" s="2">
        <f t="shared" si="65"/>
        <v>45</v>
      </c>
      <c r="AU46" s="2" t="str">
        <f t="shared" si="66"/>
        <v/>
      </c>
      <c r="AV46" s="2" t="str">
        <f t="shared" si="67"/>
        <v/>
      </c>
      <c r="AW46" s="2" t="str">
        <f t="shared" si="68"/>
        <v/>
      </c>
      <c r="AX46" s="2">
        <f t="shared" si="69"/>
        <v>37</v>
      </c>
      <c r="AY46" s="2" t="str">
        <f t="shared" si="70"/>
        <v/>
      </c>
      <c r="AZ46" s="2" t="str">
        <f t="shared" si="71"/>
        <v/>
      </c>
    </row>
    <row r="47" spans="2:52" hidden="1" outlineLevel="2" x14ac:dyDescent="0.25">
      <c r="B47" s="2">
        <v>46</v>
      </c>
      <c r="C47" s="2">
        <v>35</v>
      </c>
      <c r="E47" s="2" t="b">
        <f>ISPRIME(B47)</f>
        <v>0</v>
      </c>
      <c r="F47" s="2" t="b">
        <f>ISPRIME(C47)</f>
        <v>0</v>
      </c>
      <c r="G47" s="2" t="str">
        <f t="shared" si="31"/>
        <v/>
      </c>
      <c r="H47" s="2" t="str">
        <f t="shared" si="32"/>
        <v/>
      </c>
      <c r="K47" s="2" t="b">
        <f t="shared" si="33"/>
        <v>0</v>
      </c>
      <c r="L47" s="2" t="b">
        <f t="shared" si="34"/>
        <v>0</v>
      </c>
      <c r="M47" s="2" t="b">
        <f t="shared" si="35"/>
        <v>0</v>
      </c>
      <c r="N47" s="2" t="b">
        <f t="shared" si="36"/>
        <v>1</v>
      </c>
      <c r="Q47" s="2" t="b">
        <f t="shared" si="41"/>
        <v>0</v>
      </c>
      <c r="R47" s="2" t="b">
        <f t="shared" si="42"/>
        <v>1</v>
      </c>
      <c r="S47" s="2" t="b">
        <f t="shared" si="43"/>
        <v>1</v>
      </c>
      <c r="T47" s="2" t="b">
        <f t="shared" si="44"/>
        <v>0</v>
      </c>
      <c r="U47" s="2" t="str">
        <f t="shared" si="45"/>
        <v/>
      </c>
      <c r="V47" s="2">
        <f t="shared" si="46"/>
        <v>46</v>
      </c>
      <c r="W47" s="2">
        <f t="shared" si="47"/>
        <v>35</v>
      </c>
      <c r="X47" s="2" t="str">
        <f t="shared" si="48"/>
        <v/>
      </c>
      <c r="Y47" s="2" t="b">
        <f t="shared" si="49"/>
        <v>0</v>
      </c>
      <c r="Z47" s="2" t="b">
        <f t="shared" si="50"/>
        <v>1</v>
      </c>
      <c r="AA47" s="2" t="b">
        <f t="shared" si="51"/>
        <v>0</v>
      </c>
      <c r="AB47" s="2" t="b">
        <f t="shared" si="52"/>
        <v>1</v>
      </c>
      <c r="AC47" s="2" t="b">
        <f t="shared" si="53"/>
        <v>0</v>
      </c>
      <c r="AD47" s="2" t="b">
        <f t="shared" si="54"/>
        <v>0</v>
      </c>
      <c r="AF47" s="2">
        <f t="shared" si="55"/>
        <v>81</v>
      </c>
      <c r="AG47" s="2" t="b">
        <f t="shared" si="37"/>
        <v>1</v>
      </c>
      <c r="AH47" s="2" t="b">
        <f t="shared" si="38"/>
        <v>0</v>
      </c>
      <c r="AI47" s="2">
        <f t="shared" si="39"/>
        <v>81</v>
      </c>
      <c r="AJ47" s="2" t="str">
        <f t="shared" si="40"/>
        <v/>
      </c>
      <c r="AK47" s="2" t="b">
        <f t="shared" si="56"/>
        <v>0</v>
      </c>
      <c r="AL47" s="2" t="b">
        <f t="shared" si="57"/>
        <v>0</v>
      </c>
      <c r="AM47" s="2" t="b">
        <f t="shared" si="58"/>
        <v>1</v>
      </c>
      <c r="AN47" s="2" t="b">
        <f t="shared" si="59"/>
        <v>0</v>
      </c>
      <c r="AO47" s="2">
        <f t="shared" si="60"/>
        <v>46</v>
      </c>
      <c r="AP47" s="2" t="str">
        <f t="shared" si="61"/>
        <v/>
      </c>
      <c r="AQ47" s="2">
        <f t="shared" si="62"/>
        <v>35</v>
      </c>
      <c r="AR47" s="2" t="str">
        <f t="shared" si="63"/>
        <v/>
      </c>
      <c r="AS47" s="2" t="str">
        <f t="shared" si="64"/>
        <v/>
      </c>
      <c r="AT47" s="2" t="str">
        <f t="shared" si="65"/>
        <v/>
      </c>
      <c r="AU47" s="2">
        <f t="shared" si="66"/>
        <v>46</v>
      </c>
      <c r="AV47" s="2" t="str">
        <f t="shared" si="67"/>
        <v/>
      </c>
      <c r="AW47" s="2">
        <f t="shared" si="68"/>
        <v>35</v>
      </c>
      <c r="AX47" s="2" t="str">
        <f t="shared" si="69"/>
        <v/>
      </c>
      <c r="AY47" s="2" t="str">
        <f t="shared" si="70"/>
        <v/>
      </c>
      <c r="AZ47" s="2" t="str">
        <f t="shared" si="71"/>
        <v/>
      </c>
    </row>
    <row r="48" spans="2:52" hidden="1" outlineLevel="2" x14ac:dyDescent="0.25">
      <c r="B48" s="2">
        <v>47</v>
      </c>
      <c r="C48" s="2">
        <v>38</v>
      </c>
      <c r="E48" s="2" t="b">
        <f>ISPRIME(B48)</f>
        <v>1</v>
      </c>
      <c r="F48" s="2" t="b">
        <f>ISPRIME(C48)</f>
        <v>0</v>
      </c>
      <c r="G48" s="2">
        <f t="shared" si="31"/>
        <v>47</v>
      </c>
      <c r="H48" s="2" t="str">
        <f t="shared" si="32"/>
        <v/>
      </c>
      <c r="K48" s="2" t="b">
        <f t="shared" si="33"/>
        <v>0</v>
      </c>
      <c r="L48" s="2" t="b">
        <f t="shared" si="34"/>
        <v>1</v>
      </c>
      <c r="M48" s="2" t="b">
        <f t="shared" si="35"/>
        <v>0</v>
      </c>
      <c r="N48" s="2" t="b">
        <f t="shared" si="36"/>
        <v>0</v>
      </c>
      <c r="Q48" s="2" t="b">
        <f t="shared" si="41"/>
        <v>1</v>
      </c>
      <c r="R48" s="2" t="b">
        <f t="shared" si="42"/>
        <v>0</v>
      </c>
      <c r="S48" s="2" t="b">
        <f t="shared" si="43"/>
        <v>0</v>
      </c>
      <c r="T48" s="2" t="b">
        <f t="shared" si="44"/>
        <v>1</v>
      </c>
      <c r="U48" s="2">
        <f t="shared" si="45"/>
        <v>47</v>
      </c>
      <c r="V48" s="2" t="str">
        <f t="shared" si="46"/>
        <v/>
      </c>
      <c r="W48" s="2" t="str">
        <f t="shared" si="47"/>
        <v/>
      </c>
      <c r="X48" s="2">
        <f t="shared" si="48"/>
        <v>38</v>
      </c>
      <c r="Y48" s="2" t="b">
        <f t="shared" si="49"/>
        <v>0</v>
      </c>
      <c r="Z48" s="2" t="b">
        <f t="shared" si="50"/>
        <v>1</v>
      </c>
      <c r="AA48" s="2" t="b">
        <f t="shared" si="51"/>
        <v>0</v>
      </c>
      <c r="AB48" s="2" t="b">
        <f t="shared" si="52"/>
        <v>0</v>
      </c>
      <c r="AC48" s="2" t="b">
        <f t="shared" si="53"/>
        <v>0</v>
      </c>
      <c r="AD48" s="2" t="b">
        <f t="shared" si="54"/>
        <v>1</v>
      </c>
      <c r="AF48" s="2">
        <f t="shared" si="55"/>
        <v>85</v>
      </c>
      <c r="AG48" s="2" t="b">
        <f t="shared" si="37"/>
        <v>1</v>
      </c>
      <c r="AH48" s="2" t="b">
        <f t="shared" si="38"/>
        <v>0</v>
      </c>
      <c r="AI48" s="2">
        <f t="shared" si="39"/>
        <v>85</v>
      </c>
      <c r="AJ48" s="2" t="str">
        <f t="shared" si="40"/>
        <v/>
      </c>
      <c r="AK48" s="2" t="b">
        <f t="shared" si="56"/>
        <v>1</v>
      </c>
      <c r="AL48" s="2" t="b">
        <f t="shared" si="57"/>
        <v>0</v>
      </c>
      <c r="AM48" s="2" t="b">
        <f t="shared" si="58"/>
        <v>0</v>
      </c>
      <c r="AN48" s="2" t="b">
        <f t="shared" si="59"/>
        <v>0</v>
      </c>
      <c r="AO48" s="2">
        <f t="shared" si="60"/>
        <v>47</v>
      </c>
      <c r="AP48" s="2" t="str">
        <f t="shared" si="61"/>
        <v/>
      </c>
      <c r="AQ48" s="2">
        <f t="shared" si="62"/>
        <v>38</v>
      </c>
      <c r="AR48" s="2" t="str">
        <f t="shared" si="63"/>
        <v/>
      </c>
      <c r="AS48" s="2">
        <f t="shared" si="64"/>
        <v>47</v>
      </c>
      <c r="AT48" s="2" t="str">
        <f t="shared" si="65"/>
        <v/>
      </c>
      <c r="AU48" s="2" t="str">
        <f t="shared" si="66"/>
        <v/>
      </c>
      <c r="AV48" s="2" t="str">
        <f t="shared" si="67"/>
        <v/>
      </c>
      <c r="AW48" s="2" t="str">
        <f t="shared" si="68"/>
        <v/>
      </c>
      <c r="AX48" s="2" t="str">
        <f t="shared" si="69"/>
        <v/>
      </c>
      <c r="AY48" s="2">
        <f t="shared" si="70"/>
        <v>38</v>
      </c>
      <c r="AZ48" s="2" t="str">
        <f t="shared" si="71"/>
        <v/>
      </c>
    </row>
    <row r="49" spans="2:52" hidden="1" outlineLevel="2" x14ac:dyDescent="0.25">
      <c r="B49" s="2">
        <v>48</v>
      </c>
      <c r="C49" s="2">
        <v>29</v>
      </c>
      <c r="E49" s="2" t="b">
        <f>ISPRIME(B49)</f>
        <v>0</v>
      </c>
      <c r="F49" s="2" t="b">
        <f>ISPRIME(C49)</f>
        <v>1</v>
      </c>
      <c r="G49" s="2" t="str">
        <f t="shared" si="31"/>
        <v/>
      </c>
      <c r="H49" s="2">
        <f t="shared" si="32"/>
        <v>29</v>
      </c>
      <c r="K49" s="2" t="b">
        <f t="shared" si="33"/>
        <v>0</v>
      </c>
      <c r="L49" s="2" t="b">
        <f t="shared" si="34"/>
        <v>0</v>
      </c>
      <c r="M49" s="2" t="b">
        <f t="shared" si="35"/>
        <v>1</v>
      </c>
      <c r="N49" s="2" t="b">
        <f t="shared" si="36"/>
        <v>0</v>
      </c>
      <c r="Q49" s="2" t="b">
        <f t="shared" si="41"/>
        <v>0</v>
      </c>
      <c r="R49" s="2" t="b">
        <f t="shared" si="42"/>
        <v>1</v>
      </c>
      <c r="S49" s="2" t="b">
        <f t="shared" si="43"/>
        <v>1</v>
      </c>
      <c r="T49" s="2" t="b">
        <f t="shared" si="44"/>
        <v>0</v>
      </c>
      <c r="U49" s="2" t="str">
        <f t="shared" si="45"/>
        <v/>
      </c>
      <c r="V49" s="2">
        <f t="shared" si="46"/>
        <v>48</v>
      </c>
      <c r="W49" s="2">
        <f t="shared" si="47"/>
        <v>29</v>
      </c>
      <c r="X49" s="2" t="str">
        <f t="shared" si="48"/>
        <v/>
      </c>
      <c r="Y49" s="2" t="b">
        <f t="shared" si="49"/>
        <v>0</v>
      </c>
      <c r="Z49" s="2" t="b">
        <f t="shared" si="50"/>
        <v>1</v>
      </c>
      <c r="AA49" s="2" t="b">
        <f t="shared" si="51"/>
        <v>0</v>
      </c>
      <c r="AB49" s="2" t="b">
        <f t="shared" si="52"/>
        <v>1</v>
      </c>
      <c r="AC49" s="2" t="b">
        <f t="shared" si="53"/>
        <v>0</v>
      </c>
      <c r="AD49" s="2" t="b">
        <f t="shared" si="54"/>
        <v>0</v>
      </c>
      <c r="AF49" s="2">
        <f t="shared" si="55"/>
        <v>77</v>
      </c>
      <c r="AG49" s="2" t="b">
        <f t="shared" si="37"/>
        <v>1</v>
      </c>
      <c r="AH49" s="2" t="b">
        <f t="shared" si="38"/>
        <v>0</v>
      </c>
      <c r="AI49" s="2">
        <f t="shared" si="39"/>
        <v>77</v>
      </c>
      <c r="AJ49" s="2" t="str">
        <f t="shared" si="40"/>
        <v/>
      </c>
      <c r="AK49" s="2" t="b">
        <f t="shared" si="56"/>
        <v>0</v>
      </c>
      <c r="AL49" s="2" t="b">
        <f t="shared" si="57"/>
        <v>0</v>
      </c>
      <c r="AM49" s="2" t="b">
        <f t="shared" si="58"/>
        <v>1</v>
      </c>
      <c r="AN49" s="2" t="b">
        <f t="shared" si="59"/>
        <v>0</v>
      </c>
      <c r="AO49" s="2">
        <f t="shared" si="60"/>
        <v>48</v>
      </c>
      <c r="AP49" s="2" t="str">
        <f t="shared" si="61"/>
        <v/>
      </c>
      <c r="AQ49" s="2">
        <f t="shared" si="62"/>
        <v>29</v>
      </c>
      <c r="AR49" s="2" t="str">
        <f t="shared" si="63"/>
        <v/>
      </c>
      <c r="AS49" s="2" t="str">
        <f t="shared" si="64"/>
        <v/>
      </c>
      <c r="AT49" s="2" t="str">
        <f t="shared" si="65"/>
        <v/>
      </c>
      <c r="AU49" s="2">
        <f t="shared" si="66"/>
        <v>48</v>
      </c>
      <c r="AV49" s="2" t="str">
        <f t="shared" si="67"/>
        <v/>
      </c>
      <c r="AW49" s="2">
        <f t="shared" si="68"/>
        <v>29</v>
      </c>
      <c r="AX49" s="2" t="str">
        <f t="shared" si="69"/>
        <v/>
      </c>
      <c r="AY49" s="2" t="str">
        <f t="shared" si="70"/>
        <v/>
      </c>
      <c r="AZ49" s="2" t="str">
        <f t="shared" si="71"/>
        <v/>
      </c>
    </row>
    <row r="50" spans="2:52" hidden="1" outlineLevel="2" x14ac:dyDescent="0.25">
      <c r="B50" s="2">
        <v>49</v>
      </c>
      <c r="C50" s="2">
        <v>18</v>
      </c>
      <c r="E50" s="2" t="b">
        <f>ISPRIME(B50)</f>
        <v>0</v>
      </c>
      <c r="F50" s="2" t="b">
        <f>ISPRIME(C50)</f>
        <v>0</v>
      </c>
      <c r="G50" s="2" t="str">
        <f t="shared" si="31"/>
        <v/>
      </c>
      <c r="H50" s="2" t="str">
        <f t="shared" si="32"/>
        <v/>
      </c>
      <c r="K50" s="2" t="b">
        <f t="shared" si="33"/>
        <v>0</v>
      </c>
      <c r="L50" s="2" t="b">
        <f t="shared" si="34"/>
        <v>0</v>
      </c>
      <c r="M50" s="2" t="b">
        <f t="shared" si="35"/>
        <v>0</v>
      </c>
      <c r="N50" s="2" t="b">
        <f t="shared" si="36"/>
        <v>1</v>
      </c>
      <c r="Q50" s="2" t="b">
        <f t="shared" si="41"/>
        <v>1</v>
      </c>
      <c r="R50" s="2" t="b">
        <f t="shared" si="42"/>
        <v>0</v>
      </c>
      <c r="S50" s="2" t="b">
        <f t="shared" si="43"/>
        <v>0</v>
      </c>
      <c r="T50" s="2" t="b">
        <f t="shared" si="44"/>
        <v>1</v>
      </c>
      <c r="U50" s="2">
        <f t="shared" si="45"/>
        <v>49</v>
      </c>
      <c r="V50" s="2" t="str">
        <f t="shared" si="46"/>
        <v/>
      </c>
      <c r="W50" s="2" t="str">
        <f t="shared" si="47"/>
        <v/>
      </c>
      <c r="X50" s="2">
        <f t="shared" si="48"/>
        <v>18</v>
      </c>
      <c r="Y50" s="2" t="b">
        <f t="shared" si="49"/>
        <v>0</v>
      </c>
      <c r="Z50" s="2" t="b">
        <f t="shared" si="50"/>
        <v>1</v>
      </c>
      <c r="AA50" s="2" t="b">
        <f t="shared" si="51"/>
        <v>0</v>
      </c>
      <c r="AB50" s="2" t="b">
        <f t="shared" si="52"/>
        <v>0</v>
      </c>
      <c r="AC50" s="2" t="b">
        <f t="shared" si="53"/>
        <v>0</v>
      </c>
      <c r="AD50" s="2" t="b">
        <f t="shared" si="54"/>
        <v>1</v>
      </c>
      <c r="AF50" s="2">
        <f t="shared" si="55"/>
        <v>67</v>
      </c>
      <c r="AG50" s="2" t="b">
        <f t="shared" si="37"/>
        <v>1</v>
      </c>
      <c r="AH50" s="2" t="b">
        <f t="shared" si="38"/>
        <v>0</v>
      </c>
      <c r="AI50" s="2">
        <f t="shared" si="39"/>
        <v>67</v>
      </c>
      <c r="AJ50" s="2" t="str">
        <f t="shared" si="40"/>
        <v/>
      </c>
      <c r="AK50" s="2" t="b">
        <f t="shared" si="56"/>
        <v>1</v>
      </c>
      <c r="AL50" s="2" t="b">
        <f t="shared" si="57"/>
        <v>0</v>
      </c>
      <c r="AM50" s="2" t="b">
        <f t="shared" si="58"/>
        <v>0</v>
      </c>
      <c r="AN50" s="2" t="b">
        <f t="shared" si="59"/>
        <v>0</v>
      </c>
      <c r="AO50" s="2">
        <f t="shared" si="60"/>
        <v>49</v>
      </c>
      <c r="AP50" s="2" t="str">
        <f t="shared" si="61"/>
        <v/>
      </c>
      <c r="AQ50" s="2">
        <f t="shared" si="62"/>
        <v>18</v>
      </c>
      <c r="AR50" s="2" t="str">
        <f t="shared" si="63"/>
        <v/>
      </c>
      <c r="AS50" s="2">
        <f t="shared" si="64"/>
        <v>49</v>
      </c>
      <c r="AT50" s="2" t="str">
        <f t="shared" si="65"/>
        <v/>
      </c>
      <c r="AU50" s="2" t="str">
        <f t="shared" si="66"/>
        <v/>
      </c>
      <c r="AV50" s="2" t="str">
        <f t="shared" si="67"/>
        <v/>
      </c>
      <c r="AW50" s="2" t="str">
        <f t="shared" si="68"/>
        <v/>
      </c>
      <c r="AX50" s="2" t="str">
        <f t="shared" si="69"/>
        <v/>
      </c>
      <c r="AY50" s="2">
        <f t="shared" si="70"/>
        <v>18</v>
      </c>
      <c r="AZ50" s="2" t="str">
        <f t="shared" si="71"/>
        <v/>
      </c>
    </row>
    <row r="51" spans="2:52" hidden="1" outlineLevel="2" x14ac:dyDescent="0.25">
      <c r="B51" s="2">
        <v>50</v>
      </c>
      <c r="C51" s="2">
        <v>45</v>
      </c>
      <c r="E51" s="2" t="b">
        <f>ISPRIME(B51)</f>
        <v>0</v>
      </c>
      <c r="F51" s="2" t="b">
        <f>ISPRIME(C51)</f>
        <v>0</v>
      </c>
      <c r="G51" s="2" t="str">
        <f t="shared" si="31"/>
        <v/>
      </c>
      <c r="H51" s="2" t="str">
        <f t="shared" si="32"/>
        <v/>
      </c>
      <c r="K51" s="2" t="b">
        <f t="shared" si="33"/>
        <v>0</v>
      </c>
      <c r="L51" s="2" t="b">
        <f t="shared" si="34"/>
        <v>0</v>
      </c>
      <c r="M51" s="2" t="b">
        <f t="shared" si="35"/>
        <v>0</v>
      </c>
      <c r="N51" s="2" t="b">
        <f t="shared" si="36"/>
        <v>1</v>
      </c>
      <c r="Q51" s="2" t="b">
        <f t="shared" si="41"/>
        <v>0</v>
      </c>
      <c r="R51" s="2" t="b">
        <f t="shared" si="42"/>
        <v>1</v>
      </c>
      <c r="S51" s="2" t="b">
        <f t="shared" si="43"/>
        <v>1</v>
      </c>
      <c r="T51" s="2" t="b">
        <f t="shared" si="44"/>
        <v>0</v>
      </c>
      <c r="U51" s="2" t="str">
        <f t="shared" si="45"/>
        <v/>
      </c>
      <c r="V51" s="2">
        <f t="shared" si="46"/>
        <v>50</v>
      </c>
      <c r="W51" s="2">
        <f t="shared" si="47"/>
        <v>45</v>
      </c>
      <c r="X51" s="2" t="str">
        <f t="shared" si="48"/>
        <v/>
      </c>
      <c r="Y51" s="2" t="b">
        <f t="shared" si="49"/>
        <v>0</v>
      </c>
      <c r="Z51" s="2" t="b">
        <f t="shared" si="50"/>
        <v>1</v>
      </c>
      <c r="AA51" s="2" t="b">
        <f t="shared" si="51"/>
        <v>0</v>
      </c>
      <c r="AB51" s="2" t="b">
        <f t="shared" si="52"/>
        <v>1</v>
      </c>
      <c r="AC51" s="2" t="b">
        <f t="shared" si="53"/>
        <v>0</v>
      </c>
      <c r="AD51" s="2" t="b">
        <f t="shared" si="54"/>
        <v>0</v>
      </c>
      <c r="AF51" s="2">
        <f t="shared" si="55"/>
        <v>95</v>
      </c>
      <c r="AG51" s="2" t="b">
        <f t="shared" si="37"/>
        <v>1</v>
      </c>
      <c r="AH51" s="2" t="b">
        <f t="shared" si="38"/>
        <v>0</v>
      </c>
      <c r="AI51" s="2">
        <f t="shared" si="39"/>
        <v>95</v>
      </c>
      <c r="AJ51" s="2" t="str">
        <f t="shared" si="40"/>
        <v/>
      </c>
      <c r="AK51" s="2" t="b">
        <f t="shared" si="56"/>
        <v>0</v>
      </c>
      <c r="AL51" s="2" t="b">
        <f t="shared" si="57"/>
        <v>0</v>
      </c>
      <c r="AM51" s="2" t="b">
        <f t="shared" si="58"/>
        <v>1</v>
      </c>
      <c r="AN51" s="2" t="b">
        <f t="shared" si="59"/>
        <v>0</v>
      </c>
      <c r="AO51" s="2">
        <f t="shared" si="60"/>
        <v>50</v>
      </c>
      <c r="AP51" s="2" t="str">
        <f t="shared" si="61"/>
        <v/>
      </c>
      <c r="AQ51" s="2">
        <f t="shared" si="62"/>
        <v>45</v>
      </c>
      <c r="AR51" s="2" t="str">
        <f t="shared" si="63"/>
        <v/>
      </c>
      <c r="AS51" s="2" t="str">
        <f t="shared" si="64"/>
        <v/>
      </c>
      <c r="AT51" s="2" t="str">
        <f t="shared" si="65"/>
        <v/>
      </c>
      <c r="AU51" s="2">
        <f t="shared" si="66"/>
        <v>50</v>
      </c>
      <c r="AV51" s="2" t="str">
        <f t="shared" si="67"/>
        <v/>
      </c>
      <c r="AW51" s="2">
        <f t="shared" si="68"/>
        <v>45</v>
      </c>
      <c r="AX51" s="2" t="str">
        <f t="shared" si="69"/>
        <v/>
      </c>
      <c r="AY51" s="2" t="str">
        <f t="shared" si="70"/>
        <v/>
      </c>
      <c r="AZ51" s="2" t="str">
        <f t="shared" si="71"/>
        <v/>
      </c>
    </row>
    <row r="52" spans="2:52" hidden="1" outlineLevel="2" x14ac:dyDescent="0.25">
      <c r="B52" s="2">
        <v>51</v>
      </c>
      <c r="C52" s="2">
        <v>60</v>
      </c>
      <c r="E52" s="2" t="b">
        <f>ISPRIME(B52)</f>
        <v>0</v>
      </c>
      <c r="F52" s="2" t="b">
        <f>ISPRIME(C52)</f>
        <v>0</v>
      </c>
      <c r="G52" s="2" t="str">
        <f t="shared" si="31"/>
        <v/>
      </c>
      <c r="H52" s="2" t="str">
        <f t="shared" si="32"/>
        <v/>
      </c>
      <c r="K52" s="2" t="b">
        <f t="shared" si="33"/>
        <v>0</v>
      </c>
      <c r="L52" s="2" t="b">
        <f t="shared" si="34"/>
        <v>0</v>
      </c>
      <c r="M52" s="2" t="b">
        <f t="shared" si="35"/>
        <v>0</v>
      </c>
      <c r="N52" s="2" t="b">
        <f t="shared" si="36"/>
        <v>1</v>
      </c>
      <c r="Q52" s="2" t="b">
        <f t="shared" si="41"/>
        <v>1</v>
      </c>
      <c r="R52" s="2" t="b">
        <f t="shared" si="42"/>
        <v>0</v>
      </c>
      <c r="S52" s="2" t="b">
        <f t="shared" si="43"/>
        <v>0</v>
      </c>
      <c r="T52" s="2" t="b">
        <f t="shared" si="44"/>
        <v>1</v>
      </c>
      <c r="U52" s="2">
        <f t="shared" si="45"/>
        <v>51</v>
      </c>
      <c r="V52" s="2" t="str">
        <f t="shared" si="46"/>
        <v/>
      </c>
      <c r="W52" s="2" t="str">
        <f t="shared" si="47"/>
        <v/>
      </c>
      <c r="X52" s="2">
        <f t="shared" si="48"/>
        <v>60</v>
      </c>
      <c r="Y52" s="2" t="b">
        <f t="shared" si="49"/>
        <v>0</v>
      </c>
      <c r="Z52" s="2" t="b">
        <f t="shared" si="50"/>
        <v>1</v>
      </c>
      <c r="AA52" s="2" t="b">
        <f t="shared" si="51"/>
        <v>0</v>
      </c>
      <c r="AB52" s="2" t="b">
        <f t="shared" si="52"/>
        <v>0</v>
      </c>
      <c r="AC52" s="2" t="b">
        <f t="shared" si="53"/>
        <v>0</v>
      </c>
      <c r="AD52" s="2" t="b">
        <f t="shared" si="54"/>
        <v>1</v>
      </c>
      <c r="AF52" s="2">
        <f t="shared" si="55"/>
        <v>111</v>
      </c>
      <c r="AG52" s="2" t="b">
        <f t="shared" si="37"/>
        <v>1</v>
      </c>
      <c r="AH52" s="2" t="b">
        <f t="shared" si="38"/>
        <v>0</v>
      </c>
      <c r="AI52" s="2">
        <f t="shared" si="39"/>
        <v>111</v>
      </c>
      <c r="AJ52" s="2" t="str">
        <f t="shared" si="40"/>
        <v/>
      </c>
      <c r="AK52" s="2" t="b">
        <f t="shared" si="56"/>
        <v>1</v>
      </c>
      <c r="AL52" s="2" t="b">
        <f t="shared" si="57"/>
        <v>0</v>
      </c>
      <c r="AM52" s="2" t="b">
        <f t="shared" si="58"/>
        <v>0</v>
      </c>
      <c r="AN52" s="2" t="b">
        <f t="shared" si="59"/>
        <v>0</v>
      </c>
      <c r="AO52" s="2">
        <f t="shared" si="60"/>
        <v>51</v>
      </c>
      <c r="AP52" s="2" t="str">
        <f t="shared" si="61"/>
        <v/>
      </c>
      <c r="AQ52" s="2">
        <f t="shared" si="62"/>
        <v>60</v>
      </c>
      <c r="AR52" s="2" t="str">
        <f t="shared" si="63"/>
        <v/>
      </c>
      <c r="AS52" s="2">
        <f t="shared" si="64"/>
        <v>51</v>
      </c>
      <c r="AT52" s="2" t="str">
        <f t="shared" si="65"/>
        <v/>
      </c>
      <c r="AU52" s="2" t="str">
        <f t="shared" si="66"/>
        <v/>
      </c>
      <c r="AV52" s="2" t="str">
        <f t="shared" si="67"/>
        <v/>
      </c>
      <c r="AW52" s="2" t="str">
        <f t="shared" si="68"/>
        <v/>
      </c>
      <c r="AX52" s="2" t="str">
        <f t="shared" si="69"/>
        <v/>
      </c>
      <c r="AY52" s="2">
        <f t="shared" si="70"/>
        <v>60</v>
      </c>
      <c r="AZ52" s="2" t="str">
        <f t="shared" si="71"/>
        <v/>
      </c>
    </row>
    <row r="53" spans="2:52" hidden="1" outlineLevel="2" x14ac:dyDescent="0.25">
      <c r="B53" s="2">
        <v>52</v>
      </c>
      <c r="C53" s="2">
        <v>49</v>
      </c>
      <c r="E53" s="2" t="b">
        <f>ISPRIME(B53)</f>
        <v>0</v>
      </c>
      <c r="F53" s="2" t="b">
        <f>ISPRIME(C53)</f>
        <v>0</v>
      </c>
      <c r="G53" s="2" t="str">
        <f t="shared" si="31"/>
        <v/>
      </c>
      <c r="H53" s="2" t="str">
        <f t="shared" si="32"/>
        <v/>
      </c>
      <c r="K53" s="2" t="b">
        <f t="shared" si="33"/>
        <v>0</v>
      </c>
      <c r="L53" s="2" t="b">
        <f t="shared" si="34"/>
        <v>0</v>
      </c>
      <c r="M53" s="2" t="b">
        <f t="shared" si="35"/>
        <v>0</v>
      </c>
      <c r="N53" s="2" t="b">
        <f t="shared" si="36"/>
        <v>1</v>
      </c>
      <c r="Q53" s="2" t="b">
        <f t="shared" si="41"/>
        <v>0</v>
      </c>
      <c r="R53" s="2" t="b">
        <f t="shared" si="42"/>
        <v>1</v>
      </c>
      <c r="S53" s="2" t="b">
        <f t="shared" si="43"/>
        <v>1</v>
      </c>
      <c r="T53" s="2" t="b">
        <f t="shared" si="44"/>
        <v>0</v>
      </c>
      <c r="U53" s="2" t="str">
        <f t="shared" si="45"/>
        <v/>
      </c>
      <c r="V53" s="2">
        <f t="shared" si="46"/>
        <v>52</v>
      </c>
      <c r="W53" s="2">
        <f t="shared" si="47"/>
        <v>49</v>
      </c>
      <c r="X53" s="2" t="str">
        <f t="shared" si="48"/>
        <v/>
      </c>
      <c r="Y53" s="2" t="b">
        <f t="shared" si="49"/>
        <v>0</v>
      </c>
      <c r="Z53" s="2" t="b">
        <f t="shared" si="50"/>
        <v>1</v>
      </c>
      <c r="AA53" s="2" t="b">
        <f t="shared" si="51"/>
        <v>0</v>
      </c>
      <c r="AB53" s="2" t="b">
        <f t="shared" si="52"/>
        <v>1</v>
      </c>
      <c r="AC53" s="2" t="b">
        <f t="shared" si="53"/>
        <v>0</v>
      </c>
      <c r="AD53" s="2" t="b">
        <f t="shared" si="54"/>
        <v>0</v>
      </c>
      <c r="AF53" s="2">
        <f t="shared" si="55"/>
        <v>101</v>
      </c>
      <c r="AG53" s="2" t="b">
        <f t="shared" si="37"/>
        <v>1</v>
      </c>
      <c r="AH53" s="2" t="b">
        <f t="shared" si="38"/>
        <v>0</v>
      </c>
      <c r="AI53" s="2">
        <f t="shared" si="39"/>
        <v>101</v>
      </c>
      <c r="AJ53" s="2" t="str">
        <f t="shared" si="40"/>
        <v/>
      </c>
      <c r="AK53" s="2" t="b">
        <f t="shared" si="56"/>
        <v>0</v>
      </c>
      <c r="AL53" s="2" t="b">
        <f t="shared" si="57"/>
        <v>0</v>
      </c>
      <c r="AM53" s="2" t="b">
        <f t="shared" si="58"/>
        <v>1</v>
      </c>
      <c r="AN53" s="2" t="b">
        <f t="shared" si="59"/>
        <v>0</v>
      </c>
      <c r="AO53" s="2">
        <f t="shared" si="60"/>
        <v>52</v>
      </c>
      <c r="AP53" s="2" t="str">
        <f t="shared" si="61"/>
        <v/>
      </c>
      <c r="AQ53" s="2">
        <f t="shared" si="62"/>
        <v>49</v>
      </c>
      <c r="AR53" s="2" t="str">
        <f t="shared" si="63"/>
        <v/>
      </c>
      <c r="AS53" s="2" t="str">
        <f t="shared" si="64"/>
        <v/>
      </c>
      <c r="AT53" s="2" t="str">
        <f t="shared" si="65"/>
        <v/>
      </c>
      <c r="AU53" s="2">
        <f t="shared" si="66"/>
        <v>52</v>
      </c>
      <c r="AV53" s="2" t="str">
        <f t="shared" si="67"/>
        <v/>
      </c>
      <c r="AW53" s="2">
        <f t="shared" si="68"/>
        <v>49</v>
      </c>
      <c r="AX53" s="2" t="str">
        <f t="shared" si="69"/>
        <v/>
      </c>
      <c r="AY53" s="2" t="str">
        <f t="shared" si="70"/>
        <v/>
      </c>
      <c r="AZ53" s="2" t="str">
        <f t="shared" si="71"/>
        <v/>
      </c>
    </row>
    <row r="54" spans="2:52" hidden="1" outlineLevel="2" x14ac:dyDescent="0.25">
      <c r="B54" s="2">
        <v>53</v>
      </c>
      <c r="C54" s="2">
        <v>62</v>
      </c>
      <c r="E54" s="2" t="b">
        <f>ISPRIME(B54)</f>
        <v>1</v>
      </c>
      <c r="F54" s="2" t="b">
        <f>ISPRIME(C54)</f>
        <v>0</v>
      </c>
      <c r="G54" s="2">
        <f t="shared" si="31"/>
        <v>53</v>
      </c>
      <c r="H54" s="2" t="str">
        <f t="shared" si="32"/>
        <v/>
      </c>
      <c r="K54" s="2" t="b">
        <f t="shared" si="33"/>
        <v>0</v>
      </c>
      <c r="L54" s="2" t="b">
        <f t="shared" si="34"/>
        <v>1</v>
      </c>
      <c r="M54" s="2" t="b">
        <f t="shared" si="35"/>
        <v>0</v>
      </c>
      <c r="N54" s="2" t="b">
        <f t="shared" si="36"/>
        <v>0</v>
      </c>
      <c r="Q54" s="2" t="b">
        <f t="shared" si="41"/>
        <v>1</v>
      </c>
      <c r="R54" s="2" t="b">
        <f t="shared" si="42"/>
        <v>0</v>
      </c>
      <c r="S54" s="2" t="b">
        <f t="shared" si="43"/>
        <v>0</v>
      </c>
      <c r="T54" s="2" t="b">
        <f t="shared" si="44"/>
        <v>1</v>
      </c>
      <c r="U54" s="2">
        <f t="shared" si="45"/>
        <v>53</v>
      </c>
      <c r="V54" s="2" t="str">
        <f t="shared" si="46"/>
        <v/>
      </c>
      <c r="W54" s="2" t="str">
        <f t="shared" si="47"/>
        <v/>
      </c>
      <c r="X54" s="2">
        <f t="shared" si="48"/>
        <v>62</v>
      </c>
      <c r="Y54" s="2" t="b">
        <f t="shared" si="49"/>
        <v>0</v>
      </c>
      <c r="Z54" s="2" t="b">
        <f t="shared" si="50"/>
        <v>1</v>
      </c>
      <c r="AA54" s="2" t="b">
        <f t="shared" si="51"/>
        <v>0</v>
      </c>
      <c r="AB54" s="2" t="b">
        <f t="shared" si="52"/>
        <v>0</v>
      </c>
      <c r="AC54" s="2" t="b">
        <f t="shared" si="53"/>
        <v>0</v>
      </c>
      <c r="AD54" s="2" t="b">
        <f t="shared" si="54"/>
        <v>1</v>
      </c>
      <c r="AF54" s="2">
        <f t="shared" si="55"/>
        <v>115</v>
      </c>
      <c r="AG54" s="2" t="b">
        <f t="shared" si="37"/>
        <v>1</v>
      </c>
      <c r="AH54" s="2" t="b">
        <f t="shared" si="38"/>
        <v>0</v>
      </c>
      <c r="AI54" s="2">
        <f t="shared" si="39"/>
        <v>115</v>
      </c>
      <c r="AJ54" s="2" t="str">
        <f t="shared" si="40"/>
        <v/>
      </c>
      <c r="AK54" s="2" t="b">
        <f t="shared" si="56"/>
        <v>1</v>
      </c>
      <c r="AL54" s="2" t="b">
        <f t="shared" si="57"/>
        <v>0</v>
      </c>
      <c r="AM54" s="2" t="b">
        <f t="shared" si="58"/>
        <v>0</v>
      </c>
      <c r="AN54" s="2" t="b">
        <f t="shared" si="59"/>
        <v>0</v>
      </c>
      <c r="AO54" s="2">
        <f t="shared" si="60"/>
        <v>53</v>
      </c>
      <c r="AP54" s="2" t="str">
        <f t="shared" si="61"/>
        <v/>
      </c>
      <c r="AQ54" s="2">
        <f t="shared" si="62"/>
        <v>62</v>
      </c>
      <c r="AR54" s="2" t="str">
        <f t="shared" si="63"/>
        <v/>
      </c>
      <c r="AS54" s="2">
        <f t="shared" si="64"/>
        <v>53</v>
      </c>
      <c r="AT54" s="2" t="str">
        <f t="shared" si="65"/>
        <v/>
      </c>
      <c r="AU54" s="2" t="str">
        <f t="shared" si="66"/>
        <v/>
      </c>
      <c r="AV54" s="2" t="str">
        <f t="shared" si="67"/>
        <v/>
      </c>
      <c r="AW54" s="2" t="str">
        <f t="shared" si="68"/>
        <v/>
      </c>
      <c r="AX54" s="2" t="str">
        <f t="shared" si="69"/>
        <v/>
      </c>
      <c r="AY54" s="2">
        <f t="shared" si="70"/>
        <v>62</v>
      </c>
      <c r="AZ54" s="2" t="str">
        <f t="shared" si="71"/>
        <v/>
      </c>
    </row>
    <row r="55" spans="2:52" hidden="1" outlineLevel="2" x14ac:dyDescent="0.25">
      <c r="B55" s="2">
        <v>54</v>
      </c>
      <c r="C55" s="2">
        <v>55</v>
      </c>
      <c r="E55" s="2" t="b">
        <f>ISPRIME(B55)</f>
        <v>0</v>
      </c>
      <c r="F55" s="2" t="b">
        <f>ISPRIME(C55)</f>
        <v>0</v>
      </c>
      <c r="G55" s="2" t="str">
        <f t="shared" si="31"/>
        <v/>
      </c>
      <c r="H55" s="2" t="str">
        <f t="shared" si="32"/>
        <v/>
      </c>
      <c r="K55" s="2" t="b">
        <f t="shared" si="33"/>
        <v>0</v>
      </c>
      <c r="L55" s="2" t="b">
        <f t="shared" si="34"/>
        <v>0</v>
      </c>
      <c r="M55" s="2" t="b">
        <f t="shared" si="35"/>
        <v>0</v>
      </c>
      <c r="N55" s="2" t="b">
        <f t="shared" si="36"/>
        <v>1</v>
      </c>
      <c r="Q55" s="2" t="b">
        <f t="shared" si="41"/>
        <v>0</v>
      </c>
      <c r="R55" s="2" t="b">
        <f t="shared" si="42"/>
        <v>1</v>
      </c>
      <c r="S55" s="2" t="b">
        <f t="shared" si="43"/>
        <v>1</v>
      </c>
      <c r="T55" s="2" t="b">
        <f t="shared" si="44"/>
        <v>0</v>
      </c>
      <c r="U55" s="2" t="str">
        <f t="shared" si="45"/>
        <v/>
      </c>
      <c r="V55" s="2">
        <f t="shared" si="46"/>
        <v>54</v>
      </c>
      <c r="W55" s="2">
        <f t="shared" si="47"/>
        <v>55</v>
      </c>
      <c r="X55" s="2" t="str">
        <f t="shared" si="48"/>
        <v/>
      </c>
      <c r="Y55" s="2" t="b">
        <f t="shared" si="49"/>
        <v>0</v>
      </c>
      <c r="Z55" s="2" t="b">
        <f t="shared" si="50"/>
        <v>1</v>
      </c>
      <c r="AA55" s="2" t="b">
        <f t="shared" si="51"/>
        <v>0</v>
      </c>
      <c r="AB55" s="2" t="b">
        <f t="shared" si="52"/>
        <v>1</v>
      </c>
      <c r="AC55" s="2" t="b">
        <f t="shared" si="53"/>
        <v>0</v>
      </c>
      <c r="AD55" s="2" t="b">
        <f t="shared" si="54"/>
        <v>0</v>
      </c>
      <c r="AF55" s="2">
        <f t="shared" si="55"/>
        <v>109</v>
      </c>
      <c r="AG55" s="2" t="b">
        <f t="shared" si="37"/>
        <v>1</v>
      </c>
      <c r="AH55" s="2" t="b">
        <f t="shared" si="38"/>
        <v>0</v>
      </c>
      <c r="AI55" s="2">
        <f t="shared" si="39"/>
        <v>109</v>
      </c>
      <c r="AJ55" s="2" t="str">
        <f t="shared" si="40"/>
        <v/>
      </c>
      <c r="AK55" s="2" t="b">
        <f t="shared" si="56"/>
        <v>0</v>
      </c>
      <c r="AL55" s="2" t="b">
        <f t="shared" si="57"/>
        <v>0</v>
      </c>
      <c r="AM55" s="2" t="b">
        <f t="shared" si="58"/>
        <v>1</v>
      </c>
      <c r="AN55" s="2" t="b">
        <f t="shared" si="59"/>
        <v>0</v>
      </c>
      <c r="AO55" s="2">
        <f t="shared" si="60"/>
        <v>54</v>
      </c>
      <c r="AP55" s="2" t="str">
        <f t="shared" si="61"/>
        <v/>
      </c>
      <c r="AQ55" s="2">
        <f t="shared" si="62"/>
        <v>55</v>
      </c>
      <c r="AR55" s="2" t="str">
        <f t="shared" si="63"/>
        <v/>
      </c>
      <c r="AS55" s="2" t="str">
        <f t="shared" si="64"/>
        <v/>
      </c>
      <c r="AT55" s="2" t="str">
        <f t="shared" si="65"/>
        <v/>
      </c>
      <c r="AU55" s="2">
        <f t="shared" si="66"/>
        <v>54</v>
      </c>
      <c r="AV55" s="2" t="str">
        <f t="shared" si="67"/>
        <v/>
      </c>
      <c r="AW55" s="2">
        <f t="shared" si="68"/>
        <v>55</v>
      </c>
      <c r="AX55" s="2" t="str">
        <f t="shared" si="69"/>
        <v/>
      </c>
      <c r="AY55" s="2" t="str">
        <f t="shared" si="70"/>
        <v/>
      </c>
      <c r="AZ55" s="2" t="str">
        <f t="shared" si="71"/>
        <v/>
      </c>
    </row>
    <row r="56" spans="2:52" hidden="1" outlineLevel="2" x14ac:dyDescent="0.25">
      <c r="B56" s="2">
        <v>55</v>
      </c>
      <c r="C56" s="2">
        <v>78</v>
      </c>
      <c r="E56" s="2" t="b">
        <f>ISPRIME(B56)</f>
        <v>0</v>
      </c>
      <c r="F56" s="2" t="b">
        <f>ISPRIME(C56)</f>
        <v>0</v>
      </c>
      <c r="G56" s="2" t="str">
        <f t="shared" si="31"/>
        <v/>
      </c>
      <c r="H56" s="2" t="str">
        <f t="shared" si="32"/>
        <v/>
      </c>
      <c r="K56" s="2" t="b">
        <f t="shared" si="33"/>
        <v>0</v>
      </c>
      <c r="L56" s="2" t="b">
        <f t="shared" si="34"/>
        <v>0</v>
      </c>
      <c r="M56" s="2" t="b">
        <f t="shared" si="35"/>
        <v>0</v>
      </c>
      <c r="N56" s="2" t="b">
        <f t="shared" si="36"/>
        <v>1</v>
      </c>
      <c r="Q56" s="2" t="b">
        <f t="shared" si="41"/>
        <v>1</v>
      </c>
      <c r="R56" s="2" t="b">
        <f t="shared" si="42"/>
        <v>0</v>
      </c>
      <c r="S56" s="2" t="b">
        <f t="shared" si="43"/>
        <v>0</v>
      </c>
      <c r="T56" s="2" t="b">
        <f t="shared" si="44"/>
        <v>1</v>
      </c>
      <c r="U56" s="2">
        <f t="shared" si="45"/>
        <v>55</v>
      </c>
      <c r="V56" s="2" t="str">
        <f t="shared" si="46"/>
        <v/>
      </c>
      <c r="W56" s="2" t="str">
        <f t="shared" si="47"/>
        <v/>
      </c>
      <c r="X56" s="2">
        <f t="shared" si="48"/>
        <v>78</v>
      </c>
      <c r="Y56" s="2" t="b">
        <f t="shared" si="49"/>
        <v>0</v>
      </c>
      <c r="Z56" s="2" t="b">
        <f t="shared" si="50"/>
        <v>1</v>
      </c>
      <c r="AA56" s="2" t="b">
        <f t="shared" si="51"/>
        <v>0</v>
      </c>
      <c r="AB56" s="2" t="b">
        <f t="shared" si="52"/>
        <v>0</v>
      </c>
      <c r="AC56" s="2" t="b">
        <f t="shared" si="53"/>
        <v>0</v>
      </c>
      <c r="AD56" s="2" t="b">
        <f t="shared" si="54"/>
        <v>1</v>
      </c>
      <c r="AF56" s="2">
        <f t="shared" si="55"/>
        <v>133</v>
      </c>
      <c r="AG56" s="2" t="b">
        <f t="shared" si="37"/>
        <v>1</v>
      </c>
      <c r="AH56" s="2" t="b">
        <f t="shared" si="38"/>
        <v>0</v>
      </c>
      <c r="AI56" s="2">
        <f t="shared" si="39"/>
        <v>133</v>
      </c>
      <c r="AJ56" s="2" t="str">
        <f t="shared" si="40"/>
        <v/>
      </c>
      <c r="AK56" s="2" t="b">
        <f t="shared" si="56"/>
        <v>1</v>
      </c>
      <c r="AL56" s="2" t="b">
        <f t="shared" si="57"/>
        <v>0</v>
      </c>
      <c r="AM56" s="2" t="b">
        <f t="shared" si="58"/>
        <v>0</v>
      </c>
      <c r="AN56" s="2" t="b">
        <f t="shared" si="59"/>
        <v>0</v>
      </c>
      <c r="AO56" s="2">
        <f t="shared" si="60"/>
        <v>55</v>
      </c>
      <c r="AP56" s="2" t="str">
        <f t="shared" si="61"/>
        <v/>
      </c>
      <c r="AQ56" s="2">
        <f t="shared" si="62"/>
        <v>78</v>
      </c>
      <c r="AR56" s="2" t="str">
        <f t="shared" si="63"/>
        <v/>
      </c>
      <c r="AS56" s="2">
        <f t="shared" si="64"/>
        <v>55</v>
      </c>
      <c r="AT56" s="2" t="str">
        <f t="shared" si="65"/>
        <v/>
      </c>
      <c r="AU56" s="2" t="str">
        <f t="shared" si="66"/>
        <v/>
      </c>
      <c r="AV56" s="2" t="str">
        <f t="shared" si="67"/>
        <v/>
      </c>
      <c r="AW56" s="2" t="str">
        <f t="shared" si="68"/>
        <v/>
      </c>
      <c r="AX56" s="2" t="str">
        <f t="shared" si="69"/>
        <v/>
      </c>
      <c r="AY56" s="2">
        <f t="shared" si="70"/>
        <v>78</v>
      </c>
      <c r="AZ56" s="2" t="str">
        <f t="shared" si="71"/>
        <v/>
      </c>
    </row>
    <row r="57" spans="2:52" hidden="1" outlineLevel="2" x14ac:dyDescent="0.25">
      <c r="B57" s="2">
        <v>56</v>
      </c>
      <c r="C57" s="2">
        <v>96</v>
      </c>
      <c r="E57" s="2" t="b">
        <f>ISPRIME(B57)</f>
        <v>0</v>
      </c>
      <c r="F57" s="2" t="b">
        <f>ISPRIME(C57)</f>
        <v>0</v>
      </c>
      <c r="G57" s="2" t="str">
        <f t="shared" si="31"/>
        <v/>
      </c>
      <c r="H57" s="2" t="str">
        <f t="shared" si="32"/>
        <v/>
      </c>
      <c r="K57" s="2" t="b">
        <f t="shared" si="33"/>
        <v>0</v>
      </c>
      <c r="L57" s="2" t="b">
        <f t="shared" si="34"/>
        <v>0</v>
      </c>
      <c r="M57" s="2" t="b">
        <f t="shared" si="35"/>
        <v>0</v>
      </c>
      <c r="N57" s="2" t="b">
        <f t="shared" si="36"/>
        <v>1</v>
      </c>
      <c r="Q57" s="2" t="b">
        <f t="shared" si="41"/>
        <v>0</v>
      </c>
      <c r="R57" s="2" t="b">
        <f t="shared" si="42"/>
        <v>1</v>
      </c>
      <c r="S57" s="2" t="b">
        <f t="shared" si="43"/>
        <v>0</v>
      </c>
      <c r="T57" s="2" t="b">
        <f t="shared" si="44"/>
        <v>1</v>
      </c>
      <c r="U57" s="2" t="str">
        <f t="shared" si="45"/>
        <v/>
      </c>
      <c r="V57" s="2">
        <f t="shared" si="46"/>
        <v>56</v>
      </c>
      <c r="W57" s="2" t="str">
        <f t="shared" si="47"/>
        <v/>
      </c>
      <c r="X57" s="2">
        <f t="shared" si="48"/>
        <v>96</v>
      </c>
      <c r="Y57" s="2" t="b">
        <f t="shared" si="49"/>
        <v>1</v>
      </c>
      <c r="Z57" s="2" t="b">
        <f t="shared" si="50"/>
        <v>0</v>
      </c>
      <c r="AA57" s="2" t="b">
        <f t="shared" si="51"/>
        <v>0</v>
      </c>
      <c r="AB57" s="2" t="b">
        <f t="shared" si="52"/>
        <v>0</v>
      </c>
      <c r="AC57" s="2" t="b">
        <f t="shared" si="53"/>
        <v>1</v>
      </c>
      <c r="AD57" s="2" t="b">
        <f t="shared" si="54"/>
        <v>0</v>
      </c>
      <c r="AF57" s="2">
        <f t="shared" si="55"/>
        <v>152</v>
      </c>
      <c r="AG57" s="2" t="b">
        <f t="shared" si="37"/>
        <v>0</v>
      </c>
      <c r="AH57" s="2" t="b">
        <f t="shared" si="38"/>
        <v>1</v>
      </c>
      <c r="AI57" s="2" t="str">
        <f t="shared" si="39"/>
        <v/>
      </c>
      <c r="AJ57" s="2">
        <f t="shared" si="40"/>
        <v>152</v>
      </c>
      <c r="AK57" s="2" t="b">
        <f t="shared" si="56"/>
        <v>0</v>
      </c>
      <c r="AL57" s="2" t="b">
        <f t="shared" si="57"/>
        <v>0</v>
      </c>
      <c r="AM57" s="2" t="b">
        <f t="shared" si="58"/>
        <v>0</v>
      </c>
      <c r="AN57" s="2" t="b">
        <f t="shared" si="59"/>
        <v>1</v>
      </c>
      <c r="AO57" s="2" t="str">
        <f t="shared" si="60"/>
        <v/>
      </c>
      <c r="AP57" s="2">
        <f t="shared" si="61"/>
        <v>56</v>
      </c>
      <c r="AQ57" s="2" t="str">
        <f t="shared" si="62"/>
        <v/>
      </c>
      <c r="AR57" s="2">
        <f t="shared" si="63"/>
        <v>96</v>
      </c>
      <c r="AS57" s="2" t="str">
        <f t="shared" si="64"/>
        <v/>
      </c>
      <c r="AT57" s="2" t="str">
        <f t="shared" si="65"/>
        <v/>
      </c>
      <c r="AU57" s="2" t="str">
        <f t="shared" si="66"/>
        <v/>
      </c>
      <c r="AV57" s="2">
        <f t="shared" si="67"/>
        <v>56</v>
      </c>
      <c r="AW57" s="2" t="str">
        <f t="shared" si="68"/>
        <v/>
      </c>
      <c r="AX57" s="2" t="str">
        <f t="shared" si="69"/>
        <v/>
      </c>
      <c r="AY57" s="2" t="str">
        <f t="shared" si="70"/>
        <v/>
      </c>
      <c r="AZ57" s="2">
        <f t="shared" si="71"/>
        <v>96</v>
      </c>
    </row>
    <row r="58" spans="2:52" hidden="1" outlineLevel="2" x14ac:dyDescent="0.25">
      <c r="B58" s="2">
        <v>57</v>
      </c>
      <c r="C58" s="2">
        <v>29</v>
      </c>
      <c r="E58" s="2" t="b">
        <f>ISPRIME(B58)</f>
        <v>0</v>
      </c>
      <c r="F58" s="2" t="b">
        <f>ISPRIME(C58)</f>
        <v>1</v>
      </c>
      <c r="G58" s="2" t="str">
        <f t="shared" si="31"/>
        <v/>
      </c>
      <c r="H58" s="2">
        <f t="shared" si="32"/>
        <v>29</v>
      </c>
      <c r="K58" s="2" t="b">
        <f t="shared" si="33"/>
        <v>0</v>
      </c>
      <c r="L58" s="2" t="b">
        <f t="shared" si="34"/>
        <v>0</v>
      </c>
      <c r="M58" s="2" t="b">
        <f t="shared" si="35"/>
        <v>1</v>
      </c>
      <c r="N58" s="2" t="b">
        <f t="shared" si="36"/>
        <v>0</v>
      </c>
      <c r="Q58" s="2" t="b">
        <f t="shared" si="41"/>
        <v>1</v>
      </c>
      <c r="R58" s="2" t="b">
        <f t="shared" si="42"/>
        <v>0</v>
      </c>
      <c r="S58" s="2" t="b">
        <f t="shared" si="43"/>
        <v>1</v>
      </c>
      <c r="T58" s="2" t="b">
        <f t="shared" si="44"/>
        <v>0</v>
      </c>
      <c r="U58" s="2">
        <f t="shared" si="45"/>
        <v>57</v>
      </c>
      <c r="V58" s="2" t="str">
        <f t="shared" si="46"/>
        <v/>
      </c>
      <c r="W58" s="2">
        <f t="shared" si="47"/>
        <v>29</v>
      </c>
      <c r="X58" s="2" t="str">
        <f t="shared" si="48"/>
        <v/>
      </c>
      <c r="Y58" s="2" t="b">
        <f t="shared" si="49"/>
        <v>1</v>
      </c>
      <c r="Z58" s="2" t="b">
        <f t="shared" si="50"/>
        <v>0</v>
      </c>
      <c r="AA58" s="2" t="b">
        <f t="shared" si="51"/>
        <v>1</v>
      </c>
      <c r="AB58" s="2" t="b">
        <f t="shared" si="52"/>
        <v>0</v>
      </c>
      <c r="AC58" s="2" t="b">
        <f t="shared" si="53"/>
        <v>0</v>
      </c>
      <c r="AD58" s="2" t="b">
        <f t="shared" si="54"/>
        <v>0</v>
      </c>
      <c r="AF58" s="2">
        <f t="shared" si="55"/>
        <v>86</v>
      </c>
      <c r="AG58" s="2" t="b">
        <f t="shared" si="37"/>
        <v>0</v>
      </c>
      <c r="AH58" s="2" t="b">
        <f t="shared" si="38"/>
        <v>1</v>
      </c>
      <c r="AI58" s="2" t="str">
        <f t="shared" si="39"/>
        <v/>
      </c>
      <c r="AJ58" s="2">
        <f t="shared" si="40"/>
        <v>86</v>
      </c>
      <c r="AK58" s="2" t="b">
        <f t="shared" si="56"/>
        <v>0</v>
      </c>
      <c r="AL58" s="2" t="b">
        <f t="shared" si="57"/>
        <v>1</v>
      </c>
      <c r="AM58" s="2" t="b">
        <f t="shared" si="58"/>
        <v>0</v>
      </c>
      <c r="AN58" s="2" t="b">
        <f t="shared" si="59"/>
        <v>0</v>
      </c>
      <c r="AO58" s="2" t="str">
        <f t="shared" si="60"/>
        <v/>
      </c>
      <c r="AP58" s="2">
        <f t="shared" si="61"/>
        <v>57</v>
      </c>
      <c r="AQ58" s="2" t="str">
        <f t="shared" si="62"/>
        <v/>
      </c>
      <c r="AR58" s="2">
        <f t="shared" si="63"/>
        <v>29</v>
      </c>
      <c r="AS58" s="2" t="str">
        <f t="shared" si="64"/>
        <v/>
      </c>
      <c r="AT58" s="2">
        <f t="shared" si="65"/>
        <v>57</v>
      </c>
      <c r="AU58" s="2" t="str">
        <f t="shared" si="66"/>
        <v/>
      </c>
      <c r="AV58" s="2" t="str">
        <f t="shared" si="67"/>
        <v/>
      </c>
      <c r="AW58" s="2" t="str">
        <f t="shared" si="68"/>
        <v/>
      </c>
      <c r="AX58" s="2">
        <f t="shared" si="69"/>
        <v>29</v>
      </c>
      <c r="AY58" s="2" t="str">
        <f t="shared" si="70"/>
        <v/>
      </c>
      <c r="AZ58" s="2" t="str">
        <f t="shared" si="71"/>
        <v/>
      </c>
    </row>
    <row r="59" spans="2:52" hidden="1" outlineLevel="2" x14ac:dyDescent="0.25">
      <c r="B59" s="2">
        <v>58</v>
      </c>
      <c r="C59" s="2">
        <v>22</v>
      </c>
      <c r="E59" s="2" t="b">
        <f>ISPRIME(B59)</f>
        <v>0</v>
      </c>
      <c r="F59" s="2" t="b">
        <f>ISPRIME(C59)</f>
        <v>0</v>
      </c>
      <c r="G59" s="2" t="str">
        <f t="shared" si="31"/>
        <v/>
      </c>
      <c r="H59" s="2" t="str">
        <f t="shared" si="32"/>
        <v/>
      </c>
      <c r="K59" s="2" t="b">
        <f t="shared" si="33"/>
        <v>0</v>
      </c>
      <c r="L59" s="2" t="b">
        <f t="shared" si="34"/>
        <v>0</v>
      </c>
      <c r="M59" s="2" t="b">
        <f t="shared" si="35"/>
        <v>0</v>
      </c>
      <c r="N59" s="2" t="b">
        <f t="shared" si="36"/>
        <v>1</v>
      </c>
      <c r="Q59" s="2" t="b">
        <f t="shared" si="41"/>
        <v>0</v>
      </c>
      <c r="R59" s="2" t="b">
        <f t="shared" si="42"/>
        <v>1</v>
      </c>
      <c r="S59" s="2" t="b">
        <f t="shared" si="43"/>
        <v>0</v>
      </c>
      <c r="T59" s="2" t="b">
        <f t="shared" si="44"/>
        <v>1</v>
      </c>
      <c r="U59" s="2" t="str">
        <f t="shared" si="45"/>
        <v/>
      </c>
      <c r="V59" s="2">
        <f t="shared" si="46"/>
        <v>58</v>
      </c>
      <c r="W59" s="2" t="str">
        <f t="shared" si="47"/>
        <v/>
      </c>
      <c r="X59" s="2">
        <f t="shared" si="48"/>
        <v>22</v>
      </c>
      <c r="Y59" s="2" t="b">
        <f t="shared" si="49"/>
        <v>1</v>
      </c>
      <c r="Z59" s="2" t="b">
        <f t="shared" si="50"/>
        <v>0</v>
      </c>
      <c r="AA59" s="2" t="b">
        <f t="shared" si="51"/>
        <v>0</v>
      </c>
      <c r="AB59" s="2" t="b">
        <f t="shared" si="52"/>
        <v>0</v>
      </c>
      <c r="AC59" s="2" t="b">
        <f t="shared" si="53"/>
        <v>1</v>
      </c>
      <c r="AD59" s="2" t="b">
        <f t="shared" si="54"/>
        <v>0</v>
      </c>
      <c r="AF59" s="2">
        <f t="shared" si="55"/>
        <v>80</v>
      </c>
      <c r="AG59" s="2" t="b">
        <f t="shared" si="37"/>
        <v>0</v>
      </c>
      <c r="AH59" s="2" t="b">
        <f t="shared" si="38"/>
        <v>1</v>
      </c>
      <c r="AI59" s="2" t="str">
        <f t="shared" si="39"/>
        <v/>
      </c>
      <c r="AJ59" s="2">
        <f t="shared" si="40"/>
        <v>80</v>
      </c>
      <c r="AK59" s="2" t="b">
        <f t="shared" si="56"/>
        <v>0</v>
      </c>
      <c r="AL59" s="2" t="b">
        <f t="shared" si="57"/>
        <v>0</v>
      </c>
      <c r="AM59" s="2" t="b">
        <f t="shared" si="58"/>
        <v>0</v>
      </c>
      <c r="AN59" s="2" t="b">
        <f t="shared" si="59"/>
        <v>1</v>
      </c>
      <c r="AO59" s="2" t="str">
        <f t="shared" si="60"/>
        <v/>
      </c>
      <c r="AP59" s="2">
        <f t="shared" si="61"/>
        <v>58</v>
      </c>
      <c r="AQ59" s="2" t="str">
        <f t="shared" si="62"/>
        <v/>
      </c>
      <c r="AR59" s="2">
        <f t="shared" si="63"/>
        <v>22</v>
      </c>
      <c r="AS59" s="2" t="str">
        <f t="shared" si="64"/>
        <v/>
      </c>
      <c r="AT59" s="2" t="str">
        <f t="shared" si="65"/>
        <v/>
      </c>
      <c r="AU59" s="2" t="str">
        <f t="shared" si="66"/>
        <v/>
      </c>
      <c r="AV59" s="2">
        <f t="shared" si="67"/>
        <v>58</v>
      </c>
      <c r="AW59" s="2" t="str">
        <f t="shared" si="68"/>
        <v/>
      </c>
      <c r="AX59" s="2" t="str">
        <f t="shared" si="69"/>
        <v/>
      </c>
      <c r="AY59" s="2" t="str">
        <f t="shared" si="70"/>
        <v/>
      </c>
      <c r="AZ59" s="2">
        <f t="shared" si="71"/>
        <v>22</v>
      </c>
    </row>
    <row r="60" spans="2:52" hidden="1" outlineLevel="2" x14ac:dyDescent="0.25">
      <c r="B60" s="2">
        <v>59</v>
      </c>
      <c r="C60" s="2">
        <v>24</v>
      </c>
      <c r="E60" s="2" t="b">
        <f>ISPRIME(B60)</f>
        <v>1</v>
      </c>
      <c r="F60" s="2" t="b">
        <f>ISPRIME(C60)</f>
        <v>0</v>
      </c>
      <c r="G60" s="2">
        <f t="shared" si="31"/>
        <v>59</v>
      </c>
      <c r="H60" s="2" t="str">
        <f t="shared" si="32"/>
        <v/>
      </c>
      <c r="K60" s="2" t="b">
        <f t="shared" si="33"/>
        <v>0</v>
      </c>
      <c r="L60" s="2" t="b">
        <f t="shared" si="34"/>
        <v>1</v>
      </c>
      <c r="M60" s="2" t="b">
        <f t="shared" si="35"/>
        <v>0</v>
      </c>
      <c r="N60" s="2" t="b">
        <f t="shared" si="36"/>
        <v>0</v>
      </c>
      <c r="Q60" s="2" t="b">
        <f t="shared" si="41"/>
        <v>1</v>
      </c>
      <c r="R60" s="2" t="b">
        <f t="shared" si="42"/>
        <v>0</v>
      </c>
      <c r="S60" s="2" t="b">
        <f t="shared" si="43"/>
        <v>0</v>
      </c>
      <c r="T60" s="2" t="b">
        <f t="shared" si="44"/>
        <v>1</v>
      </c>
      <c r="U60" s="2">
        <f t="shared" si="45"/>
        <v>59</v>
      </c>
      <c r="V60" s="2" t="str">
        <f t="shared" si="46"/>
        <v/>
      </c>
      <c r="W60" s="2" t="str">
        <f t="shared" si="47"/>
        <v/>
      </c>
      <c r="X60" s="2">
        <f t="shared" si="48"/>
        <v>24</v>
      </c>
      <c r="Y60" s="2" t="b">
        <f t="shared" si="49"/>
        <v>0</v>
      </c>
      <c r="Z60" s="2" t="b">
        <f t="shared" si="50"/>
        <v>1</v>
      </c>
      <c r="AA60" s="2" t="b">
        <f t="shared" si="51"/>
        <v>0</v>
      </c>
      <c r="AB60" s="2" t="b">
        <f t="shared" si="52"/>
        <v>0</v>
      </c>
      <c r="AC60" s="2" t="b">
        <f t="shared" si="53"/>
        <v>0</v>
      </c>
      <c r="AD60" s="2" t="b">
        <f t="shared" si="54"/>
        <v>1</v>
      </c>
      <c r="AF60" s="2">
        <f t="shared" si="55"/>
        <v>83</v>
      </c>
      <c r="AG60" s="2" t="b">
        <f t="shared" si="37"/>
        <v>1</v>
      </c>
      <c r="AH60" s="2" t="b">
        <f t="shared" si="38"/>
        <v>0</v>
      </c>
      <c r="AI60" s="2">
        <f t="shared" si="39"/>
        <v>83</v>
      </c>
      <c r="AJ60" s="2" t="str">
        <f t="shared" si="40"/>
        <v/>
      </c>
      <c r="AK60" s="2" t="b">
        <f t="shared" si="56"/>
        <v>1</v>
      </c>
      <c r="AL60" s="2" t="b">
        <f t="shared" si="57"/>
        <v>0</v>
      </c>
      <c r="AM60" s="2" t="b">
        <f t="shared" si="58"/>
        <v>0</v>
      </c>
      <c r="AN60" s="2" t="b">
        <f t="shared" si="59"/>
        <v>0</v>
      </c>
      <c r="AO60" s="2">
        <f t="shared" si="60"/>
        <v>59</v>
      </c>
      <c r="AP60" s="2" t="str">
        <f t="shared" si="61"/>
        <v/>
      </c>
      <c r="AQ60" s="2">
        <f t="shared" si="62"/>
        <v>24</v>
      </c>
      <c r="AR60" s="2" t="str">
        <f t="shared" si="63"/>
        <v/>
      </c>
      <c r="AS60" s="2">
        <f t="shared" si="64"/>
        <v>59</v>
      </c>
      <c r="AT60" s="2" t="str">
        <f t="shared" si="65"/>
        <v/>
      </c>
      <c r="AU60" s="2" t="str">
        <f t="shared" si="66"/>
        <v/>
      </c>
      <c r="AV60" s="2" t="str">
        <f t="shared" si="67"/>
        <v/>
      </c>
      <c r="AW60" s="2" t="str">
        <f t="shared" si="68"/>
        <v/>
      </c>
      <c r="AX60" s="2" t="str">
        <f t="shared" si="69"/>
        <v/>
      </c>
      <c r="AY60" s="2">
        <f t="shared" si="70"/>
        <v>24</v>
      </c>
      <c r="AZ60" s="2" t="str">
        <f t="shared" si="71"/>
        <v/>
      </c>
    </row>
    <row r="61" spans="2:52" hidden="1" outlineLevel="2" x14ac:dyDescent="0.25">
      <c r="B61" s="2">
        <v>60</v>
      </c>
      <c r="C61" s="2">
        <v>13</v>
      </c>
      <c r="E61" s="2" t="b">
        <f>ISPRIME(B61)</f>
        <v>0</v>
      </c>
      <c r="F61" s="2" t="b">
        <f>ISPRIME(C61)</f>
        <v>1</v>
      </c>
      <c r="G61" s="2" t="str">
        <f t="shared" si="31"/>
        <v/>
      </c>
      <c r="H61" s="2">
        <f t="shared" si="32"/>
        <v>13</v>
      </c>
      <c r="K61" s="2" t="b">
        <f t="shared" si="33"/>
        <v>0</v>
      </c>
      <c r="L61" s="2" t="b">
        <f t="shared" si="34"/>
        <v>0</v>
      </c>
      <c r="M61" s="2" t="b">
        <f t="shared" si="35"/>
        <v>1</v>
      </c>
      <c r="N61" s="2" t="b">
        <f t="shared" si="36"/>
        <v>0</v>
      </c>
      <c r="Q61" s="2" t="b">
        <f t="shared" si="41"/>
        <v>0</v>
      </c>
      <c r="R61" s="2" t="b">
        <f t="shared" si="42"/>
        <v>1</v>
      </c>
      <c r="S61" s="2" t="b">
        <f t="shared" si="43"/>
        <v>1</v>
      </c>
      <c r="T61" s="2" t="b">
        <f t="shared" si="44"/>
        <v>0</v>
      </c>
      <c r="U61" s="2" t="str">
        <f t="shared" si="45"/>
        <v/>
      </c>
      <c r="V61" s="2">
        <f t="shared" si="46"/>
        <v>60</v>
      </c>
      <c r="W61" s="2">
        <f t="shared" si="47"/>
        <v>13</v>
      </c>
      <c r="X61" s="2" t="str">
        <f t="shared" si="48"/>
        <v/>
      </c>
      <c r="Y61" s="2" t="b">
        <f t="shared" si="49"/>
        <v>0</v>
      </c>
      <c r="Z61" s="2" t="b">
        <f t="shared" si="50"/>
        <v>1</v>
      </c>
      <c r="AA61" s="2" t="b">
        <f t="shared" si="51"/>
        <v>0</v>
      </c>
      <c r="AB61" s="2" t="b">
        <f t="shared" si="52"/>
        <v>1</v>
      </c>
      <c r="AC61" s="2" t="b">
        <f t="shared" si="53"/>
        <v>0</v>
      </c>
      <c r="AD61" s="2" t="b">
        <f t="shared" si="54"/>
        <v>0</v>
      </c>
      <c r="AF61" s="2">
        <f t="shared" si="55"/>
        <v>73</v>
      </c>
      <c r="AG61" s="2" t="b">
        <f t="shared" si="37"/>
        <v>1</v>
      </c>
      <c r="AH61" s="2" t="b">
        <f t="shared" si="38"/>
        <v>0</v>
      </c>
      <c r="AI61" s="2">
        <f t="shared" si="39"/>
        <v>73</v>
      </c>
      <c r="AJ61" s="2" t="str">
        <f t="shared" si="40"/>
        <v/>
      </c>
      <c r="AK61" s="2" t="b">
        <f t="shared" si="56"/>
        <v>0</v>
      </c>
      <c r="AL61" s="2" t="b">
        <f t="shared" si="57"/>
        <v>0</v>
      </c>
      <c r="AM61" s="2" t="b">
        <f t="shared" si="58"/>
        <v>1</v>
      </c>
      <c r="AN61" s="2" t="b">
        <f t="shared" si="59"/>
        <v>0</v>
      </c>
      <c r="AO61" s="2">
        <f t="shared" si="60"/>
        <v>60</v>
      </c>
      <c r="AP61" s="2" t="str">
        <f t="shared" si="61"/>
        <v/>
      </c>
      <c r="AQ61" s="2">
        <f t="shared" si="62"/>
        <v>13</v>
      </c>
      <c r="AR61" s="2" t="str">
        <f t="shared" si="63"/>
        <v/>
      </c>
      <c r="AS61" s="2" t="str">
        <f t="shared" si="64"/>
        <v/>
      </c>
      <c r="AT61" s="2" t="str">
        <f t="shared" si="65"/>
        <v/>
      </c>
      <c r="AU61" s="2">
        <f t="shared" si="66"/>
        <v>60</v>
      </c>
      <c r="AV61" s="2" t="str">
        <f t="shared" si="67"/>
        <v/>
      </c>
      <c r="AW61" s="2">
        <f t="shared" si="68"/>
        <v>13</v>
      </c>
      <c r="AX61" s="2" t="str">
        <f t="shared" si="69"/>
        <v/>
      </c>
      <c r="AY61" s="2" t="str">
        <f t="shared" si="70"/>
        <v/>
      </c>
      <c r="AZ61" s="2" t="str">
        <f t="shared" si="71"/>
        <v/>
      </c>
    </row>
    <row r="62" spans="2:52" hidden="1" outlineLevel="2" x14ac:dyDescent="0.25">
      <c r="B62" s="2">
        <v>61</v>
      </c>
      <c r="C62" s="2">
        <v>14</v>
      </c>
      <c r="E62" s="2" t="b">
        <f>ISPRIME(B62)</f>
        <v>1</v>
      </c>
      <c r="F62" s="2" t="b">
        <f>ISPRIME(C62)</f>
        <v>0</v>
      </c>
      <c r="G62" s="2">
        <f t="shared" si="31"/>
        <v>61</v>
      </c>
      <c r="H62" s="2" t="str">
        <f t="shared" si="32"/>
        <v/>
      </c>
      <c r="K62" s="2" t="b">
        <f t="shared" si="33"/>
        <v>0</v>
      </c>
      <c r="L62" s="2" t="b">
        <f t="shared" si="34"/>
        <v>1</v>
      </c>
      <c r="M62" s="2" t="b">
        <f t="shared" si="35"/>
        <v>0</v>
      </c>
      <c r="N62" s="2" t="b">
        <f t="shared" si="36"/>
        <v>0</v>
      </c>
      <c r="Q62" s="2" t="b">
        <f t="shared" si="41"/>
        <v>1</v>
      </c>
      <c r="R62" s="2" t="b">
        <f t="shared" si="42"/>
        <v>0</v>
      </c>
      <c r="S62" s="2" t="b">
        <f t="shared" si="43"/>
        <v>0</v>
      </c>
      <c r="T62" s="2" t="b">
        <f t="shared" si="44"/>
        <v>1</v>
      </c>
      <c r="U62" s="2">
        <f t="shared" si="45"/>
        <v>61</v>
      </c>
      <c r="V62" s="2" t="str">
        <f t="shared" si="46"/>
        <v/>
      </c>
      <c r="W62" s="2" t="str">
        <f t="shared" si="47"/>
        <v/>
      </c>
      <c r="X62" s="2">
        <f t="shared" si="48"/>
        <v>14</v>
      </c>
      <c r="Y62" s="2" t="b">
        <f t="shared" si="49"/>
        <v>0</v>
      </c>
      <c r="Z62" s="2" t="b">
        <f t="shared" si="50"/>
        <v>1</v>
      </c>
      <c r="AA62" s="2" t="b">
        <f t="shared" si="51"/>
        <v>0</v>
      </c>
      <c r="AB62" s="2" t="b">
        <f t="shared" si="52"/>
        <v>0</v>
      </c>
      <c r="AC62" s="2" t="b">
        <f t="shared" si="53"/>
        <v>0</v>
      </c>
      <c r="AD62" s="2" t="b">
        <f t="shared" si="54"/>
        <v>1</v>
      </c>
      <c r="AF62" s="2">
        <f t="shared" si="55"/>
        <v>75</v>
      </c>
      <c r="AG62" s="2" t="b">
        <f t="shared" si="37"/>
        <v>1</v>
      </c>
      <c r="AH62" s="2" t="b">
        <f t="shared" si="38"/>
        <v>0</v>
      </c>
      <c r="AI62" s="2">
        <f t="shared" si="39"/>
        <v>75</v>
      </c>
      <c r="AJ62" s="2" t="str">
        <f t="shared" si="40"/>
        <v/>
      </c>
      <c r="AK62" s="2" t="b">
        <f t="shared" si="56"/>
        <v>1</v>
      </c>
      <c r="AL62" s="2" t="b">
        <f t="shared" si="57"/>
        <v>0</v>
      </c>
      <c r="AM62" s="2" t="b">
        <f t="shared" si="58"/>
        <v>0</v>
      </c>
      <c r="AN62" s="2" t="b">
        <f t="shared" si="59"/>
        <v>0</v>
      </c>
      <c r="AO62" s="2">
        <f t="shared" si="60"/>
        <v>61</v>
      </c>
      <c r="AP62" s="2" t="str">
        <f t="shared" si="61"/>
        <v/>
      </c>
      <c r="AQ62" s="2">
        <f t="shared" si="62"/>
        <v>14</v>
      </c>
      <c r="AR62" s="2" t="str">
        <f t="shared" si="63"/>
        <v/>
      </c>
      <c r="AS62" s="2">
        <f t="shared" si="64"/>
        <v>61</v>
      </c>
      <c r="AT62" s="2" t="str">
        <f t="shared" si="65"/>
        <v/>
      </c>
      <c r="AU62" s="2" t="str">
        <f t="shared" si="66"/>
        <v/>
      </c>
      <c r="AV62" s="2" t="str">
        <f t="shared" si="67"/>
        <v/>
      </c>
      <c r="AW62" s="2" t="str">
        <f t="shared" si="68"/>
        <v/>
      </c>
      <c r="AX62" s="2" t="str">
        <f t="shared" si="69"/>
        <v/>
      </c>
      <c r="AY62" s="2">
        <f t="shared" si="70"/>
        <v>14</v>
      </c>
      <c r="AZ62" s="2" t="str">
        <f t="shared" si="71"/>
        <v/>
      </c>
    </row>
    <row r="63" spans="2:52" hidden="1" outlineLevel="2" x14ac:dyDescent="0.25">
      <c r="B63" s="2">
        <v>62</v>
      </c>
      <c r="C63" s="2">
        <v>11</v>
      </c>
      <c r="E63" s="2" t="b">
        <f>ISPRIME(B63)</f>
        <v>0</v>
      </c>
      <c r="F63" s="2" t="b">
        <f>ISPRIME(C63)</f>
        <v>1</v>
      </c>
      <c r="G63" s="2" t="str">
        <f t="shared" si="31"/>
        <v/>
      </c>
      <c r="H63" s="2">
        <f t="shared" si="32"/>
        <v>11</v>
      </c>
      <c r="K63" s="2" t="b">
        <f t="shared" si="33"/>
        <v>0</v>
      </c>
      <c r="L63" s="2" t="b">
        <f t="shared" si="34"/>
        <v>0</v>
      </c>
      <c r="M63" s="2" t="b">
        <f t="shared" si="35"/>
        <v>1</v>
      </c>
      <c r="N63" s="2" t="b">
        <f t="shared" si="36"/>
        <v>0</v>
      </c>
      <c r="Q63" s="2" t="b">
        <f t="shared" si="41"/>
        <v>0</v>
      </c>
      <c r="R63" s="2" t="b">
        <f t="shared" si="42"/>
        <v>1</v>
      </c>
      <c r="S63" s="2" t="b">
        <f t="shared" si="43"/>
        <v>1</v>
      </c>
      <c r="T63" s="2" t="b">
        <f t="shared" si="44"/>
        <v>0</v>
      </c>
      <c r="U63" s="2" t="str">
        <f t="shared" si="45"/>
        <v/>
      </c>
      <c r="V63" s="2">
        <f t="shared" si="46"/>
        <v>62</v>
      </c>
      <c r="W63" s="2">
        <f t="shared" si="47"/>
        <v>11</v>
      </c>
      <c r="X63" s="2" t="str">
        <f t="shared" si="48"/>
        <v/>
      </c>
      <c r="Y63" s="2" t="b">
        <f t="shared" si="49"/>
        <v>0</v>
      </c>
      <c r="Z63" s="2" t="b">
        <f t="shared" si="50"/>
        <v>1</v>
      </c>
      <c r="AA63" s="2" t="b">
        <f t="shared" si="51"/>
        <v>0</v>
      </c>
      <c r="AB63" s="2" t="b">
        <f t="shared" si="52"/>
        <v>1</v>
      </c>
      <c r="AC63" s="2" t="b">
        <f t="shared" si="53"/>
        <v>0</v>
      </c>
      <c r="AD63" s="2" t="b">
        <f t="shared" si="54"/>
        <v>0</v>
      </c>
      <c r="AF63" s="2">
        <f t="shared" si="55"/>
        <v>73</v>
      </c>
      <c r="AG63" s="2" t="b">
        <f t="shared" si="37"/>
        <v>1</v>
      </c>
      <c r="AH63" s="2" t="b">
        <f t="shared" si="38"/>
        <v>0</v>
      </c>
      <c r="AI63" s="2">
        <f t="shared" si="39"/>
        <v>73</v>
      </c>
      <c r="AJ63" s="2" t="str">
        <f t="shared" si="40"/>
        <v/>
      </c>
      <c r="AK63" s="2" t="b">
        <f t="shared" si="56"/>
        <v>0</v>
      </c>
      <c r="AL63" s="2" t="b">
        <f t="shared" si="57"/>
        <v>0</v>
      </c>
      <c r="AM63" s="2" t="b">
        <f t="shared" si="58"/>
        <v>1</v>
      </c>
      <c r="AN63" s="2" t="b">
        <f t="shared" si="59"/>
        <v>0</v>
      </c>
      <c r="AO63" s="2">
        <f t="shared" si="60"/>
        <v>62</v>
      </c>
      <c r="AP63" s="2" t="str">
        <f t="shared" si="61"/>
        <v/>
      </c>
      <c r="AQ63" s="2">
        <f t="shared" si="62"/>
        <v>11</v>
      </c>
      <c r="AR63" s="2" t="str">
        <f t="shared" si="63"/>
        <v/>
      </c>
      <c r="AS63" s="2" t="str">
        <f t="shared" si="64"/>
        <v/>
      </c>
      <c r="AT63" s="2" t="str">
        <f t="shared" si="65"/>
        <v/>
      </c>
      <c r="AU63" s="2">
        <f t="shared" si="66"/>
        <v>62</v>
      </c>
      <c r="AV63" s="2" t="str">
        <f t="shared" si="67"/>
        <v/>
      </c>
      <c r="AW63" s="2">
        <f t="shared" si="68"/>
        <v>11</v>
      </c>
      <c r="AX63" s="2" t="str">
        <f t="shared" si="69"/>
        <v/>
      </c>
      <c r="AY63" s="2" t="str">
        <f t="shared" si="70"/>
        <v/>
      </c>
      <c r="AZ63" s="2" t="str">
        <f t="shared" si="71"/>
        <v/>
      </c>
    </row>
    <row r="64" spans="2:52" hidden="1" outlineLevel="2" x14ac:dyDescent="0.25">
      <c r="B64" s="2">
        <v>63</v>
      </c>
      <c r="C64" s="2">
        <v>11</v>
      </c>
      <c r="E64" s="2" t="b">
        <f>ISPRIME(B64)</f>
        <v>0</v>
      </c>
      <c r="F64" s="2" t="b">
        <f>ISPRIME(C64)</f>
        <v>1</v>
      </c>
      <c r="G64" s="2" t="str">
        <f t="shared" si="31"/>
        <v/>
      </c>
      <c r="H64" s="2">
        <f t="shared" si="32"/>
        <v>11</v>
      </c>
      <c r="K64" s="2" t="b">
        <f t="shared" si="33"/>
        <v>0</v>
      </c>
      <c r="L64" s="2" t="b">
        <f t="shared" si="34"/>
        <v>0</v>
      </c>
      <c r="M64" s="2" t="b">
        <f t="shared" si="35"/>
        <v>1</v>
      </c>
      <c r="N64" s="2" t="b">
        <f t="shared" si="36"/>
        <v>0</v>
      </c>
      <c r="Q64" s="2" t="b">
        <f t="shared" si="41"/>
        <v>1</v>
      </c>
      <c r="R64" s="2" t="b">
        <f t="shared" si="42"/>
        <v>0</v>
      </c>
      <c r="S64" s="2" t="b">
        <f t="shared" si="43"/>
        <v>1</v>
      </c>
      <c r="T64" s="2" t="b">
        <f t="shared" si="44"/>
        <v>0</v>
      </c>
      <c r="U64" s="2">
        <f t="shared" si="45"/>
        <v>63</v>
      </c>
      <c r="V64" s="2" t="str">
        <f t="shared" si="46"/>
        <v/>
      </c>
      <c r="W64" s="2">
        <f t="shared" si="47"/>
        <v>11</v>
      </c>
      <c r="X64" s="2" t="str">
        <f t="shared" si="48"/>
        <v/>
      </c>
      <c r="Y64" s="2" t="b">
        <f t="shared" si="49"/>
        <v>1</v>
      </c>
      <c r="Z64" s="2" t="b">
        <f t="shared" si="50"/>
        <v>0</v>
      </c>
      <c r="AA64" s="2" t="b">
        <f t="shared" si="51"/>
        <v>1</v>
      </c>
      <c r="AB64" s="2" t="b">
        <f t="shared" si="52"/>
        <v>0</v>
      </c>
      <c r="AC64" s="2" t="b">
        <f t="shared" si="53"/>
        <v>0</v>
      </c>
      <c r="AD64" s="2" t="b">
        <f t="shared" si="54"/>
        <v>0</v>
      </c>
      <c r="AF64" s="2">
        <f t="shared" si="55"/>
        <v>74</v>
      </c>
      <c r="AG64" s="2" t="b">
        <f t="shared" si="37"/>
        <v>0</v>
      </c>
      <c r="AH64" s="2" t="b">
        <f t="shared" si="38"/>
        <v>1</v>
      </c>
      <c r="AI64" s="2" t="str">
        <f t="shared" si="39"/>
        <v/>
      </c>
      <c r="AJ64" s="2">
        <f t="shared" si="40"/>
        <v>74</v>
      </c>
      <c r="AK64" s="2" t="b">
        <f t="shared" si="56"/>
        <v>0</v>
      </c>
      <c r="AL64" s="2" t="b">
        <f t="shared" si="57"/>
        <v>1</v>
      </c>
      <c r="AM64" s="2" t="b">
        <f t="shared" si="58"/>
        <v>0</v>
      </c>
      <c r="AN64" s="2" t="b">
        <f t="shared" si="59"/>
        <v>0</v>
      </c>
      <c r="AO64" s="2" t="str">
        <f t="shared" si="60"/>
        <v/>
      </c>
      <c r="AP64" s="2">
        <f t="shared" si="61"/>
        <v>63</v>
      </c>
      <c r="AQ64" s="2" t="str">
        <f t="shared" si="62"/>
        <v/>
      </c>
      <c r="AR64" s="2">
        <f t="shared" si="63"/>
        <v>11</v>
      </c>
      <c r="AS64" s="2" t="str">
        <f t="shared" si="64"/>
        <v/>
      </c>
      <c r="AT64" s="2">
        <f t="shared" si="65"/>
        <v>63</v>
      </c>
      <c r="AU64" s="2" t="str">
        <f t="shared" si="66"/>
        <v/>
      </c>
      <c r="AV64" s="2" t="str">
        <f t="shared" si="67"/>
        <v/>
      </c>
      <c r="AW64" s="2" t="str">
        <f t="shared" si="68"/>
        <v/>
      </c>
      <c r="AX64" s="2">
        <f t="shared" si="69"/>
        <v>11</v>
      </c>
      <c r="AY64" s="2" t="str">
        <f t="shared" si="70"/>
        <v/>
      </c>
      <c r="AZ64" s="2" t="str">
        <f t="shared" si="71"/>
        <v/>
      </c>
    </row>
    <row r="65" spans="2:52" hidden="1" outlineLevel="2" x14ac:dyDescent="0.25">
      <c r="B65" s="2">
        <v>64</v>
      </c>
      <c r="C65" s="2">
        <v>18</v>
      </c>
      <c r="E65" s="2" t="b">
        <f>ISPRIME(B65)</f>
        <v>0</v>
      </c>
      <c r="F65" s="2" t="b">
        <f>ISPRIME(C65)</f>
        <v>0</v>
      </c>
      <c r="G65" s="2" t="str">
        <f t="shared" si="31"/>
        <v/>
      </c>
      <c r="H65" s="2" t="str">
        <f t="shared" si="32"/>
        <v/>
      </c>
      <c r="K65" s="2" t="b">
        <f t="shared" si="33"/>
        <v>0</v>
      </c>
      <c r="L65" s="2" t="b">
        <f t="shared" si="34"/>
        <v>0</v>
      </c>
      <c r="M65" s="2" t="b">
        <f t="shared" si="35"/>
        <v>0</v>
      </c>
      <c r="N65" s="2" t="b">
        <f t="shared" si="36"/>
        <v>1</v>
      </c>
      <c r="Q65" s="2" t="b">
        <f t="shared" si="41"/>
        <v>0</v>
      </c>
      <c r="R65" s="2" t="b">
        <f t="shared" si="42"/>
        <v>1</v>
      </c>
      <c r="S65" s="2" t="b">
        <f t="shared" si="43"/>
        <v>0</v>
      </c>
      <c r="T65" s="2" t="b">
        <f t="shared" si="44"/>
        <v>1</v>
      </c>
      <c r="U65" s="2" t="str">
        <f t="shared" si="45"/>
        <v/>
      </c>
      <c r="V65" s="2">
        <f t="shared" si="46"/>
        <v>64</v>
      </c>
      <c r="W65" s="2" t="str">
        <f t="shared" si="47"/>
        <v/>
      </c>
      <c r="X65" s="2">
        <f t="shared" si="48"/>
        <v>18</v>
      </c>
      <c r="Y65" s="2" t="b">
        <f t="shared" si="49"/>
        <v>1</v>
      </c>
      <c r="Z65" s="2" t="b">
        <f t="shared" si="50"/>
        <v>0</v>
      </c>
      <c r="AA65" s="2" t="b">
        <f t="shared" si="51"/>
        <v>0</v>
      </c>
      <c r="AB65" s="2" t="b">
        <f t="shared" si="52"/>
        <v>0</v>
      </c>
      <c r="AC65" s="2" t="b">
        <f t="shared" si="53"/>
        <v>1</v>
      </c>
      <c r="AD65" s="2" t="b">
        <f t="shared" si="54"/>
        <v>0</v>
      </c>
      <c r="AF65" s="2">
        <f t="shared" si="55"/>
        <v>82</v>
      </c>
      <c r="AG65" s="2" t="b">
        <f t="shared" si="37"/>
        <v>0</v>
      </c>
      <c r="AH65" s="2" t="b">
        <f t="shared" si="38"/>
        <v>1</v>
      </c>
      <c r="AI65" s="2" t="str">
        <f t="shared" si="39"/>
        <v/>
      </c>
      <c r="AJ65" s="2">
        <f t="shared" si="40"/>
        <v>82</v>
      </c>
      <c r="AK65" s="2" t="b">
        <f t="shared" si="56"/>
        <v>0</v>
      </c>
      <c r="AL65" s="2" t="b">
        <f t="shared" si="57"/>
        <v>0</v>
      </c>
      <c r="AM65" s="2" t="b">
        <f t="shared" si="58"/>
        <v>0</v>
      </c>
      <c r="AN65" s="2" t="b">
        <f t="shared" si="59"/>
        <v>1</v>
      </c>
      <c r="AO65" s="2" t="str">
        <f t="shared" si="60"/>
        <v/>
      </c>
      <c r="AP65" s="2">
        <f t="shared" si="61"/>
        <v>64</v>
      </c>
      <c r="AQ65" s="2" t="str">
        <f t="shared" si="62"/>
        <v/>
      </c>
      <c r="AR65" s="2">
        <f t="shared" si="63"/>
        <v>18</v>
      </c>
      <c r="AS65" s="2" t="str">
        <f t="shared" si="64"/>
        <v/>
      </c>
      <c r="AT65" s="2" t="str">
        <f t="shared" si="65"/>
        <v/>
      </c>
      <c r="AU65" s="2" t="str">
        <f t="shared" si="66"/>
        <v/>
      </c>
      <c r="AV65" s="2">
        <f t="shared" si="67"/>
        <v>64</v>
      </c>
      <c r="AW65" s="2" t="str">
        <f t="shared" si="68"/>
        <v/>
      </c>
      <c r="AX65" s="2" t="str">
        <f t="shared" si="69"/>
        <v/>
      </c>
      <c r="AY65" s="2" t="str">
        <f t="shared" si="70"/>
        <v/>
      </c>
      <c r="AZ65" s="2">
        <f t="shared" si="71"/>
        <v>18</v>
      </c>
    </row>
    <row r="66" spans="2:52" hidden="1" outlineLevel="2" x14ac:dyDescent="0.25">
      <c r="B66" s="2">
        <v>65</v>
      </c>
      <c r="C66" s="2">
        <v>12</v>
      </c>
      <c r="E66" s="2" t="b">
        <f>ISPRIME(B66)</f>
        <v>0</v>
      </c>
      <c r="F66" s="2" t="b">
        <f>ISPRIME(C66)</f>
        <v>0</v>
      </c>
      <c r="G66" s="2" t="str">
        <f t="shared" si="31"/>
        <v/>
      </c>
      <c r="H66" s="2" t="str">
        <f t="shared" si="32"/>
        <v/>
      </c>
      <c r="K66" s="2" t="b">
        <f t="shared" si="33"/>
        <v>0</v>
      </c>
      <c r="L66" s="2" t="b">
        <f t="shared" si="34"/>
        <v>0</v>
      </c>
      <c r="M66" s="2" t="b">
        <f t="shared" si="35"/>
        <v>0</v>
      </c>
      <c r="N66" s="2" t="b">
        <f t="shared" si="36"/>
        <v>1</v>
      </c>
      <c r="Q66" s="2" t="b">
        <f t="shared" ref="Q66:Q97" si="72">ISODD(B66)</f>
        <v>1</v>
      </c>
      <c r="R66" s="2" t="b">
        <f t="shared" ref="R66:R97" si="73">ISEVEN(B66)</f>
        <v>0</v>
      </c>
      <c r="S66" s="2" t="b">
        <f t="shared" ref="S66:S97" si="74">ISODD(C66)</f>
        <v>0</v>
      </c>
      <c r="T66" s="2" t="b">
        <f t="shared" ref="T66:T97" si="75">ISEVEN(C66)</f>
        <v>1</v>
      </c>
      <c r="U66" s="2">
        <f t="shared" ref="U66:U97" si="76">IF(Q66, B66, "")</f>
        <v>65</v>
      </c>
      <c r="V66" s="2" t="str">
        <f t="shared" ref="V66:V97" si="77">IF(R66, B66, "")</f>
        <v/>
      </c>
      <c r="W66" s="2" t="str">
        <f t="shared" ref="W66:W97" si="78">IF(S66, C66, "")</f>
        <v/>
      </c>
      <c r="X66" s="2">
        <f t="shared" ref="X66:X97" si="79">IF(T66, C66, "")</f>
        <v>12</v>
      </c>
      <c r="Y66" s="2" t="b">
        <f t="shared" ref="Y66:Y97" si="80">OR(AND(Q66, S66), AND(R66, T66))</f>
        <v>0</v>
      </c>
      <c r="Z66" s="2" t="b">
        <f t="shared" ref="Z66:Z97" si="81">OR(AND(Q66, T66), AND(R66, S66))</f>
        <v>1</v>
      </c>
      <c r="AA66" s="2" t="b">
        <f t="shared" ref="AA66:AA97" si="82">AND(Q66, S66)</f>
        <v>0</v>
      </c>
      <c r="AB66" s="2" t="b">
        <f t="shared" ref="AB66:AB97" si="83">AND(R66, S66)</f>
        <v>0</v>
      </c>
      <c r="AC66" s="2" t="b">
        <f t="shared" ref="AC66:AC97" si="84">AND(R66, T66)</f>
        <v>0</v>
      </c>
      <c r="AD66" s="2" t="b">
        <f t="shared" ref="AD66:AD97" si="85">AND(Q66, T66)</f>
        <v>1</v>
      </c>
      <c r="AF66" s="2">
        <f t="shared" ref="AF66:AF97" si="86">SUM(B66, C66)</f>
        <v>77</v>
      </c>
      <c r="AG66" s="2" t="b">
        <f t="shared" si="37"/>
        <v>1</v>
      </c>
      <c r="AH66" s="2" t="b">
        <f t="shared" si="38"/>
        <v>0</v>
      </c>
      <c r="AI66" s="2">
        <f t="shared" si="39"/>
        <v>77</v>
      </c>
      <c r="AJ66" s="2" t="str">
        <f t="shared" si="40"/>
        <v/>
      </c>
      <c r="AK66" s="2" t="b">
        <f t="shared" ref="AK66:AK97" si="87">AND(ISODD(B66),ISODD(AF66))</f>
        <v>1</v>
      </c>
      <c r="AL66" s="2" t="b">
        <f t="shared" ref="AL66:AL97" si="88">AND(ISODD(B66),ISEVEN(AF66))</f>
        <v>0</v>
      </c>
      <c r="AM66" s="2" t="b">
        <f t="shared" ref="AM66:AM97" si="89">AND(ISEVEN(B66),ISODD(AF66))</f>
        <v>0</v>
      </c>
      <c r="AN66" s="2" t="b">
        <f t="shared" ref="AN66:AN97" si="90">AND(ISEVEN(B66),ISEVEN(AF66))</f>
        <v>0</v>
      </c>
      <c r="AO66" s="2">
        <f t="shared" ref="AO66:AO97" si="91">IF(AG66,B66, "")</f>
        <v>65</v>
      </c>
      <c r="AP66" s="2" t="str">
        <f t="shared" ref="AP66:AP97" si="92">IF(AH66, B66, "")</f>
        <v/>
      </c>
      <c r="AQ66" s="2">
        <f t="shared" ref="AQ66:AQ97" si="93">IF(AG66, C66, "")</f>
        <v>12</v>
      </c>
      <c r="AR66" s="2" t="str">
        <f t="shared" ref="AR66:AR97" si="94">IF(AH66, C66, "")</f>
        <v/>
      </c>
      <c r="AS66" s="2">
        <f t="shared" ref="AS66:AS97" si="95">IF(AND(ISODD(B66),ISODD(AF66)), B66, "")</f>
        <v>65</v>
      </c>
      <c r="AT66" s="2" t="str">
        <f t="shared" ref="AT66:AT97" si="96">IF(AND(ISODD(B66),ISEVEN(AF66)), B66, "")</f>
        <v/>
      </c>
      <c r="AU66" s="2" t="str">
        <f t="shared" ref="AU66:AU97" si="97">IF(AND(ISEVEN(B66),ISODD(AF66)), B66, "")</f>
        <v/>
      </c>
      <c r="AV66" s="2" t="str">
        <f t="shared" ref="AV66:AV97" si="98">IF(AND(ISEVEN(B66),ISEVEN(AF66)), B66, "")</f>
        <v/>
      </c>
      <c r="AW66" s="2" t="str">
        <f t="shared" ref="AW66:AW97" si="99">IF(AND(ISODD(C66),ISODD(AF66)), C66, "")</f>
        <v/>
      </c>
      <c r="AX66" s="2" t="str">
        <f t="shared" ref="AX66:AX97" si="100">IF(AND(ISODD(C66),ISEVEN(AF66)), C66, "")</f>
        <v/>
      </c>
      <c r="AY66" s="2">
        <f t="shared" ref="AY66:AY97" si="101">IF(AND(ISEVEN(C66),ISODD(AF66)), C66, "")</f>
        <v>12</v>
      </c>
      <c r="AZ66" s="2" t="str">
        <f t="shared" ref="AZ66:AZ97" si="102">IF(AND(ISEVEN(C66),ISEVEN(AF66)), C66, "")</f>
        <v/>
      </c>
    </row>
    <row r="67" spans="2:52" hidden="1" outlineLevel="2" x14ac:dyDescent="0.25">
      <c r="B67" s="2">
        <v>66</v>
      </c>
      <c r="C67" s="2">
        <v>12</v>
      </c>
      <c r="E67" s="2" t="b">
        <f>ISPRIME(B67)</f>
        <v>0</v>
      </c>
      <c r="F67" s="2" t="b">
        <f>ISPRIME(C67)</f>
        <v>0</v>
      </c>
      <c r="G67" s="2" t="str">
        <f t="shared" ref="G67:G115" si="103">IF(E67, B67, "")</f>
        <v/>
      </c>
      <c r="H67" s="2" t="str">
        <f t="shared" ref="H67:H115" si="104">IF(F67, C67, "")</f>
        <v/>
      </c>
      <c r="K67" s="2" t="b">
        <f t="shared" ref="K67:K115" si="105">AND(E67, F67)</f>
        <v>0</v>
      </c>
      <c r="L67" s="2" t="b">
        <f t="shared" ref="L67:L115" si="106">AND(E67, NOT(F67))</f>
        <v>0</v>
      </c>
      <c r="M67" s="2" t="b">
        <f t="shared" ref="M67:M115" si="107">AND(NOT(E67), F67)</f>
        <v>0</v>
      </c>
      <c r="N67" s="2" t="b">
        <f t="shared" ref="N67:N115" si="108">AND(NOT(E67), NOT(F67))</f>
        <v>1</v>
      </c>
      <c r="Q67" s="2" t="b">
        <f t="shared" si="72"/>
        <v>0</v>
      </c>
      <c r="R67" s="2" t="b">
        <f t="shared" si="73"/>
        <v>1</v>
      </c>
      <c r="S67" s="2" t="b">
        <f t="shared" si="74"/>
        <v>0</v>
      </c>
      <c r="T67" s="2" t="b">
        <f t="shared" si="75"/>
        <v>1</v>
      </c>
      <c r="U67" s="2" t="str">
        <f t="shared" si="76"/>
        <v/>
      </c>
      <c r="V67" s="2">
        <f t="shared" si="77"/>
        <v>66</v>
      </c>
      <c r="W67" s="2" t="str">
        <f t="shared" si="78"/>
        <v/>
      </c>
      <c r="X67" s="2">
        <f t="shared" si="79"/>
        <v>12</v>
      </c>
      <c r="Y67" s="2" t="b">
        <f t="shared" si="80"/>
        <v>1</v>
      </c>
      <c r="Z67" s="2" t="b">
        <f t="shared" si="81"/>
        <v>0</v>
      </c>
      <c r="AA67" s="2" t="b">
        <f t="shared" si="82"/>
        <v>0</v>
      </c>
      <c r="AB67" s="2" t="b">
        <f t="shared" si="83"/>
        <v>0</v>
      </c>
      <c r="AC67" s="2" t="b">
        <f t="shared" si="84"/>
        <v>1</v>
      </c>
      <c r="AD67" s="2" t="b">
        <f t="shared" si="85"/>
        <v>0</v>
      </c>
      <c r="AF67" s="2">
        <f t="shared" si="86"/>
        <v>78</v>
      </c>
      <c r="AG67" s="2" t="b">
        <f t="shared" ref="AG67:AG115" si="109">ISODD(AF67)</f>
        <v>0</v>
      </c>
      <c r="AH67" s="2" t="b">
        <f t="shared" ref="AH67:AH115" si="110">ISEVEN(AF67)</f>
        <v>1</v>
      </c>
      <c r="AI67" s="2" t="str">
        <f t="shared" ref="AI67:AI115" si="111">IF(AG67, AF67, "")</f>
        <v/>
      </c>
      <c r="AJ67" s="2">
        <f t="shared" ref="AJ67:AJ115" si="112">IF(AH67, AF67, "")</f>
        <v>78</v>
      </c>
      <c r="AK67" s="2" t="b">
        <f t="shared" si="87"/>
        <v>0</v>
      </c>
      <c r="AL67" s="2" t="b">
        <f t="shared" si="88"/>
        <v>0</v>
      </c>
      <c r="AM67" s="2" t="b">
        <f t="shared" si="89"/>
        <v>0</v>
      </c>
      <c r="AN67" s="2" t="b">
        <f t="shared" si="90"/>
        <v>1</v>
      </c>
      <c r="AO67" s="2" t="str">
        <f t="shared" si="91"/>
        <v/>
      </c>
      <c r="AP67" s="2">
        <f t="shared" si="92"/>
        <v>66</v>
      </c>
      <c r="AQ67" s="2" t="str">
        <f t="shared" si="93"/>
        <v/>
      </c>
      <c r="AR67" s="2">
        <f t="shared" si="94"/>
        <v>12</v>
      </c>
      <c r="AS67" s="2" t="str">
        <f t="shared" si="95"/>
        <v/>
      </c>
      <c r="AT67" s="2" t="str">
        <f t="shared" si="96"/>
        <v/>
      </c>
      <c r="AU67" s="2" t="str">
        <f t="shared" si="97"/>
        <v/>
      </c>
      <c r="AV67" s="2">
        <f t="shared" si="98"/>
        <v>66</v>
      </c>
      <c r="AW67" s="2" t="str">
        <f t="shared" si="99"/>
        <v/>
      </c>
      <c r="AX67" s="2" t="str">
        <f t="shared" si="100"/>
        <v/>
      </c>
      <c r="AY67" s="2" t="str">
        <f t="shared" si="101"/>
        <v/>
      </c>
      <c r="AZ67" s="2">
        <f t="shared" si="102"/>
        <v>12</v>
      </c>
    </row>
    <row r="68" spans="2:52" hidden="1" outlineLevel="2" x14ac:dyDescent="0.25">
      <c r="B68" s="2">
        <v>67</v>
      </c>
      <c r="C68" s="2">
        <v>30</v>
      </c>
      <c r="E68" s="2" t="b">
        <f>ISPRIME(B68)</f>
        <v>1</v>
      </c>
      <c r="F68" s="2" t="b">
        <f>ISPRIME(C68)</f>
        <v>0</v>
      </c>
      <c r="G68" s="2">
        <f t="shared" si="103"/>
        <v>67</v>
      </c>
      <c r="H68" s="2" t="str">
        <f t="shared" si="104"/>
        <v/>
      </c>
      <c r="K68" s="2" t="b">
        <f t="shared" si="105"/>
        <v>0</v>
      </c>
      <c r="L68" s="2" t="b">
        <f t="shared" si="106"/>
        <v>1</v>
      </c>
      <c r="M68" s="2" t="b">
        <f t="shared" si="107"/>
        <v>0</v>
      </c>
      <c r="N68" s="2" t="b">
        <f t="shared" si="108"/>
        <v>0</v>
      </c>
      <c r="Q68" s="2" t="b">
        <f t="shared" si="72"/>
        <v>1</v>
      </c>
      <c r="R68" s="2" t="b">
        <f t="shared" si="73"/>
        <v>0</v>
      </c>
      <c r="S68" s="2" t="b">
        <f t="shared" si="74"/>
        <v>0</v>
      </c>
      <c r="T68" s="2" t="b">
        <f t="shared" si="75"/>
        <v>1</v>
      </c>
      <c r="U68" s="2">
        <f t="shared" si="76"/>
        <v>67</v>
      </c>
      <c r="V68" s="2" t="str">
        <f t="shared" si="77"/>
        <v/>
      </c>
      <c r="W68" s="2" t="str">
        <f t="shared" si="78"/>
        <v/>
      </c>
      <c r="X68" s="2">
        <f t="shared" si="79"/>
        <v>30</v>
      </c>
      <c r="Y68" s="2" t="b">
        <f t="shared" si="80"/>
        <v>0</v>
      </c>
      <c r="Z68" s="2" t="b">
        <f t="shared" si="81"/>
        <v>1</v>
      </c>
      <c r="AA68" s="2" t="b">
        <f t="shared" si="82"/>
        <v>0</v>
      </c>
      <c r="AB68" s="2" t="b">
        <f t="shared" si="83"/>
        <v>0</v>
      </c>
      <c r="AC68" s="2" t="b">
        <f t="shared" si="84"/>
        <v>0</v>
      </c>
      <c r="AD68" s="2" t="b">
        <f t="shared" si="85"/>
        <v>1</v>
      </c>
      <c r="AF68" s="2">
        <f t="shared" si="86"/>
        <v>97</v>
      </c>
      <c r="AG68" s="2" t="b">
        <f t="shared" si="109"/>
        <v>1</v>
      </c>
      <c r="AH68" s="2" t="b">
        <f t="shared" si="110"/>
        <v>0</v>
      </c>
      <c r="AI68" s="2">
        <f t="shared" si="111"/>
        <v>97</v>
      </c>
      <c r="AJ68" s="2" t="str">
        <f t="shared" si="112"/>
        <v/>
      </c>
      <c r="AK68" s="2" t="b">
        <f t="shared" si="87"/>
        <v>1</v>
      </c>
      <c r="AL68" s="2" t="b">
        <f t="shared" si="88"/>
        <v>0</v>
      </c>
      <c r="AM68" s="2" t="b">
        <f t="shared" si="89"/>
        <v>0</v>
      </c>
      <c r="AN68" s="2" t="b">
        <f t="shared" si="90"/>
        <v>0</v>
      </c>
      <c r="AO68" s="2">
        <f t="shared" si="91"/>
        <v>67</v>
      </c>
      <c r="AP68" s="2" t="str">
        <f t="shared" si="92"/>
        <v/>
      </c>
      <c r="AQ68" s="2">
        <f t="shared" si="93"/>
        <v>30</v>
      </c>
      <c r="AR68" s="2" t="str">
        <f t="shared" si="94"/>
        <v/>
      </c>
      <c r="AS68" s="2">
        <f t="shared" si="95"/>
        <v>67</v>
      </c>
      <c r="AT68" s="2" t="str">
        <f t="shared" si="96"/>
        <v/>
      </c>
      <c r="AU68" s="2" t="str">
        <f t="shared" si="97"/>
        <v/>
      </c>
      <c r="AV68" s="2" t="str">
        <f t="shared" si="98"/>
        <v/>
      </c>
      <c r="AW68" s="2" t="str">
        <f t="shared" si="99"/>
        <v/>
      </c>
      <c r="AX68" s="2" t="str">
        <f t="shared" si="100"/>
        <v/>
      </c>
      <c r="AY68" s="2">
        <f t="shared" si="101"/>
        <v>30</v>
      </c>
      <c r="AZ68" s="2" t="str">
        <f t="shared" si="102"/>
        <v/>
      </c>
    </row>
    <row r="69" spans="2:52" hidden="1" outlineLevel="2" x14ac:dyDescent="0.25">
      <c r="B69" s="2">
        <v>68</v>
      </c>
      <c r="C69" s="2">
        <v>52</v>
      </c>
      <c r="E69" s="2" t="b">
        <f>ISPRIME(B69)</f>
        <v>0</v>
      </c>
      <c r="F69" s="2" t="b">
        <f>ISPRIME(C69)</f>
        <v>0</v>
      </c>
      <c r="G69" s="2" t="str">
        <f t="shared" si="103"/>
        <v/>
      </c>
      <c r="H69" s="2" t="str">
        <f t="shared" si="104"/>
        <v/>
      </c>
      <c r="K69" s="2" t="b">
        <f t="shared" si="105"/>
        <v>0</v>
      </c>
      <c r="L69" s="2" t="b">
        <f t="shared" si="106"/>
        <v>0</v>
      </c>
      <c r="M69" s="2" t="b">
        <f t="shared" si="107"/>
        <v>0</v>
      </c>
      <c r="N69" s="2" t="b">
        <f t="shared" si="108"/>
        <v>1</v>
      </c>
      <c r="Q69" s="2" t="b">
        <f t="shared" si="72"/>
        <v>0</v>
      </c>
      <c r="R69" s="2" t="b">
        <f t="shared" si="73"/>
        <v>1</v>
      </c>
      <c r="S69" s="2" t="b">
        <f t="shared" si="74"/>
        <v>0</v>
      </c>
      <c r="T69" s="2" t="b">
        <f t="shared" si="75"/>
        <v>1</v>
      </c>
      <c r="U69" s="2" t="str">
        <f t="shared" si="76"/>
        <v/>
      </c>
      <c r="V69" s="2">
        <f t="shared" si="77"/>
        <v>68</v>
      </c>
      <c r="W69" s="2" t="str">
        <f t="shared" si="78"/>
        <v/>
      </c>
      <c r="X69" s="2">
        <f t="shared" si="79"/>
        <v>52</v>
      </c>
      <c r="Y69" s="2" t="b">
        <f t="shared" si="80"/>
        <v>1</v>
      </c>
      <c r="Z69" s="2" t="b">
        <f t="shared" si="81"/>
        <v>0</v>
      </c>
      <c r="AA69" s="2" t="b">
        <f t="shared" si="82"/>
        <v>0</v>
      </c>
      <c r="AB69" s="2" t="b">
        <f t="shared" si="83"/>
        <v>0</v>
      </c>
      <c r="AC69" s="2" t="b">
        <f t="shared" si="84"/>
        <v>1</v>
      </c>
      <c r="AD69" s="2" t="b">
        <f t="shared" si="85"/>
        <v>0</v>
      </c>
      <c r="AF69" s="2">
        <f t="shared" si="86"/>
        <v>120</v>
      </c>
      <c r="AG69" s="2" t="b">
        <f t="shared" si="109"/>
        <v>0</v>
      </c>
      <c r="AH69" s="2" t="b">
        <f t="shared" si="110"/>
        <v>1</v>
      </c>
      <c r="AI69" s="2" t="str">
        <f t="shared" si="111"/>
        <v/>
      </c>
      <c r="AJ69" s="2">
        <f t="shared" si="112"/>
        <v>120</v>
      </c>
      <c r="AK69" s="2" t="b">
        <f t="shared" si="87"/>
        <v>0</v>
      </c>
      <c r="AL69" s="2" t="b">
        <f t="shared" si="88"/>
        <v>0</v>
      </c>
      <c r="AM69" s="2" t="b">
        <f t="shared" si="89"/>
        <v>0</v>
      </c>
      <c r="AN69" s="2" t="b">
        <f t="shared" si="90"/>
        <v>1</v>
      </c>
      <c r="AO69" s="2" t="str">
        <f t="shared" si="91"/>
        <v/>
      </c>
      <c r="AP69" s="2">
        <f t="shared" si="92"/>
        <v>68</v>
      </c>
      <c r="AQ69" s="2" t="str">
        <f t="shared" si="93"/>
        <v/>
      </c>
      <c r="AR69" s="2">
        <f t="shared" si="94"/>
        <v>52</v>
      </c>
      <c r="AS69" s="2" t="str">
        <f t="shared" si="95"/>
        <v/>
      </c>
      <c r="AT69" s="2" t="str">
        <f t="shared" si="96"/>
        <v/>
      </c>
      <c r="AU69" s="2" t="str">
        <f t="shared" si="97"/>
        <v/>
      </c>
      <c r="AV69" s="2">
        <f t="shared" si="98"/>
        <v>68</v>
      </c>
      <c r="AW69" s="2" t="str">
        <f t="shared" si="99"/>
        <v/>
      </c>
      <c r="AX69" s="2" t="str">
        <f t="shared" si="100"/>
        <v/>
      </c>
      <c r="AY69" s="2" t="str">
        <f t="shared" si="101"/>
        <v/>
      </c>
      <c r="AZ69" s="2">
        <f t="shared" si="102"/>
        <v>52</v>
      </c>
    </row>
    <row r="70" spans="2:52" hidden="1" outlineLevel="2" x14ac:dyDescent="0.25">
      <c r="B70" s="2">
        <v>69</v>
      </c>
      <c r="C70" s="2">
        <v>52</v>
      </c>
      <c r="E70" s="2" t="b">
        <f>ISPRIME(B70)</f>
        <v>0</v>
      </c>
      <c r="F70" s="2" t="b">
        <f>ISPRIME(C70)</f>
        <v>0</v>
      </c>
      <c r="G70" s="2" t="str">
        <f t="shared" si="103"/>
        <v/>
      </c>
      <c r="H70" s="2" t="str">
        <f t="shared" si="104"/>
        <v/>
      </c>
      <c r="K70" s="2" t="b">
        <f t="shared" si="105"/>
        <v>0</v>
      </c>
      <c r="L70" s="2" t="b">
        <f t="shared" si="106"/>
        <v>0</v>
      </c>
      <c r="M70" s="2" t="b">
        <f t="shared" si="107"/>
        <v>0</v>
      </c>
      <c r="N70" s="2" t="b">
        <f t="shared" si="108"/>
        <v>1</v>
      </c>
      <c r="Q70" s="2" t="b">
        <f t="shared" si="72"/>
        <v>1</v>
      </c>
      <c r="R70" s="2" t="b">
        <f t="shared" si="73"/>
        <v>0</v>
      </c>
      <c r="S70" s="2" t="b">
        <f t="shared" si="74"/>
        <v>0</v>
      </c>
      <c r="T70" s="2" t="b">
        <f t="shared" si="75"/>
        <v>1</v>
      </c>
      <c r="U70" s="2">
        <f t="shared" si="76"/>
        <v>69</v>
      </c>
      <c r="V70" s="2" t="str">
        <f t="shared" si="77"/>
        <v/>
      </c>
      <c r="W70" s="2" t="str">
        <f t="shared" si="78"/>
        <v/>
      </c>
      <c r="X70" s="2">
        <f t="shared" si="79"/>
        <v>52</v>
      </c>
      <c r="Y70" s="2" t="b">
        <f t="shared" si="80"/>
        <v>0</v>
      </c>
      <c r="Z70" s="2" t="b">
        <f t="shared" si="81"/>
        <v>1</v>
      </c>
      <c r="AA70" s="2" t="b">
        <f t="shared" si="82"/>
        <v>0</v>
      </c>
      <c r="AB70" s="2" t="b">
        <f t="shared" si="83"/>
        <v>0</v>
      </c>
      <c r="AC70" s="2" t="b">
        <f t="shared" si="84"/>
        <v>0</v>
      </c>
      <c r="AD70" s="2" t="b">
        <f t="shared" si="85"/>
        <v>1</v>
      </c>
      <c r="AF70" s="2">
        <f t="shared" si="86"/>
        <v>121</v>
      </c>
      <c r="AG70" s="2" t="b">
        <f t="shared" si="109"/>
        <v>1</v>
      </c>
      <c r="AH70" s="2" t="b">
        <f t="shared" si="110"/>
        <v>0</v>
      </c>
      <c r="AI70" s="2">
        <f t="shared" si="111"/>
        <v>121</v>
      </c>
      <c r="AJ70" s="2" t="str">
        <f t="shared" si="112"/>
        <v/>
      </c>
      <c r="AK70" s="2" t="b">
        <f t="shared" si="87"/>
        <v>1</v>
      </c>
      <c r="AL70" s="2" t="b">
        <f t="shared" si="88"/>
        <v>0</v>
      </c>
      <c r="AM70" s="2" t="b">
        <f t="shared" si="89"/>
        <v>0</v>
      </c>
      <c r="AN70" s="2" t="b">
        <f t="shared" si="90"/>
        <v>0</v>
      </c>
      <c r="AO70" s="2">
        <f t="shared" si="91"/>
        <v>69</v>
      </c>
      <c r="AP70" s="2" t="str">
        <f t="shared" si="92"/>
        <v/>
      </c>
      <c r="AQ70" s="2">
        <f t="shared" si="93"/>
        <v>52</v>
      </c>
      <c r="AR70" s="2" t="str">
        <f t="shared" si="94"/>
        <v/>
      </c>
      <c r="AS70" s="2">
        <f t="shared" si="95"/>
        <v>69</v>
      </c>
      <c r="AT70" s="2" t="str">
        <f t="shared" si="96"/>
        <v/>
      </c>
      <c r="AU70" s="2" t="str">
        <f t="shared" si="97"/>
        <v/>
      </c>
      <c r="AV70" s="2" t="str">
        <f t="shared" si="98"/>
        <v/>
      </c>
      <c r="AW70" s="2" t="str">
        <f t="shared" si="99"/>
        <v/>
      </c>
      <c r="AX70" s="2" t="str">
        <f t="shared" si="100"/>
        <v/>
      </c>
      <c r="AY70" s="2">
        <f t="shared" si="101"/>
        <v>52</v>
      </c>
      <c r="AZ70" s="2" t="str">
        <f t="shared" si="102"/>
        <v/>
      </c>
    </row>
    <row r="71" spans="2:52" hidden="1" outlineLevel="2" x14ac:dyDescent="0.25">
      <c r="B71" s="2">
        <v>70</v>
      </c>
      <c r="C71" s="2">
        <v>44</v>
      </c>
      <c r="E71" s="2" t="b">
        <f>ISPRIME(B71)</f>
        <v>0</v>
      </c>
      <c r="F71" s="2" t="b">
        <f>ISPRIME(C71)</f>
        <v>0</v>
      </c>
      <c r="G71" s="2" t="str">
        <f t="shared" si="103"/>
        <v/>
      </c>
      <c r="H71" s="2" t="str">
        <f t="shared" si="104"/>
        <v/>
      </c>
      <c r="K71" s="2" t="b">
        <f t="shared" si="105"/>
        <v>0</v>
      </c>
      <c r="L71" s="2" t="b">
        <f t="shared" si="106"/>
        <v>0</v>
      </c>
      <c r="M71" s="2" t="b">
        <f t="shared" si="107"/>
        <v>0</v>
      </c>
      <c r="N71" s="2" t="b">
        <f t="shared" si="108"/>
        <v>1</v>
      </c>
      <c r="Q71" s="2" t="b">
        <f t="shared" si="72"/>
        <v>0</v>
      </c>
      <c r="R71" s="2" t="b">
        <f t="shared" si="73"/>
        <v>1</v>
      </c>
      <c r="S71" s="2" t="b">
        <f t="shared" si="74"/>
        <v>0</v>
      </c>
      <c r="T71" s="2" t="b">
        <f t="shared" si="75"/>
        <v>1</v>
      </c>
      <c r="U71" s="2" t="str">
        <f t="shared" si="76"/>
        <v/>
      </c>
      <c r="V71" s="2">
        <f t="shared" si="77"/>
        <v>70</v>
      </c>
      <c r="W71" s="2" t="str">
        <f t="shared" si="78"/>
        <v/>
      </c>
      <c r="X71" s="2">
        <f t="shared" si="79"/>
        <v>44</v>
      </c>
      <c r="Y71" s="2" t="b">
        <f t="shared" si="80"/>
        <v>1</v>
      </c>
      <c r="Z71" s="2" t="b">
        <f t="shared" si="81"/>
        <v>0</v>
      </c>
      <c r="AA71" s="2" t="b">
        <f t="shared" si="82"/>
        <v>0</v>
      </c>
      <c r="AB71" s="2" t="b">
        <f t="shared" si="83"/>
        <v>0</v>
      </c>
      <c r="AC71" s="2" t="b">
        <f t="shared" si="84"/>
        <v>1</v>
      </c>
      <c r="AD71" s="2" t="b">
        <f t="shared" si="85"/>
        <v>0</v>
      </c>
      <c r="AF71" s="2">
        <f t="shared" si="86"/>
        <v>114</v>
      </c>
      <c r="AG71" s="2" t="b">
        <f t="shared" si="109"/>
        <v>0</v>
      </c>
      <c r="AH71" s="2" t="b">
        <f t="shared" si="110"/>
        <v>1</v>
      </c>
      <c r="AI71" s="2" t="str">
        <f t="shared" si="111"/>
        <v/>
      </c>
      <c r="AJ71" s="2">
        <f t="shared" si="112"/>
        <v>114</v>
      </c>
      <c r="AK71" s="2" t="b">
        <f t="shared" si="87"/>
        <v>0</v>
      </c>
      <c r="AL71" s="2" t="b">
        <f t="shared" si="88"/>
        <v>0</v>
      </c>
      <c r="AM71" s="2" t="b">
        <f t="shared" si="89"/>
        <v>0</v>
      </c>
      <c r="AN71" s="2" t="b">
        <f t="shared" si="90"/>
        <v>1</v>
      </c>
      <c r="AO71" s="2" t="str">
        <f t="shared" si="91"/>
        <v/>
      </c>
      <c r="AP71" s="2">
        <f t="shared" si="92"/>
        <v>70</v>
      </c>
      <c r="AQ71" s="2" t="str">
        <f t="shared" si="93"/>
        <v/>
      </c>
      <c r="AR71" s="2">
        <f t="shared" si="94"/>
        <v>44</v>
      </c>
      <c r="AS71" s="2" t="str">
        <f t="shared" si="95"/>
        <v/>
      </c>
      <c r="AT71" s="2" t="str">
        <f t="shared" si="96"/>
        <v/>
      </c>
      <c r="AU71" s="2" t="str">
        <f t="shared" si="97"/>
        <v/>
      </c>
      <c r="AV71" s="2">
        <f t="shared" si="98"/>
        <v>70</v>
      </c>
      <c r="AW71" s="2" t="str">
        <f t="shared" si="99"/>
        <v/>
      </c>
      <c r="AX71" s="2" t="str">
        <f t="shared" si="100"/>
        <v/>
      </c>
      <c r="AY71" s="2" t="str">
        <f t="shared" si="101"/>
        <v/>
      </c>
      <c r="AZ71" s="2">
        <f t="shared" si="102"/>
        <v>44</v>
      </c>
    </row>
    <row r="72" spans="2:52" hidden="1" outlineLevel="2" x14ac:dyDescent="0.25">
      <c r="B72" s="2">
        <v>71</v>
      </c>
      <c r="C72" s="2">
        <v>28</v>
      </c>
      <c r="E72" s="2" t="b">
        <f>ISPRIME(B72)</f>
        <v>1</v>
      </c>
      <c r="F72" s="2" t="b">
        <f>ISPRIME(C72)</f>
        <v>0</v>
      </c>
      <c r="G72" s="2">
        <f t="shared" si="103"/>
        <v>71</v>
      </c>
      <c r="H72" s="2" t="str">
        <f t="shared" si="104"/>
        <v/>
      </c>
      <c r="K72" s="2" t="b">
        <f t="shared" si="105"/>
        <v>0</v>
      </c>
      <c r="L72" s="2" t="b">
        <f t="shared" si="106"/>
        <v>1</v>
      </c>
      <c r="M72" s="2" t="b">
        <f t="shared" si="107"/>
        <v>0</v>
      </c>
      <c r="N72" s="2" t="b">
        <f t="shared" si="108"/>
        <v>0</v>
      </c>
      <c r="Q72" s="2" t="b">
        <f t="shared" si="72"/>
        <v>1</v>
      </c>
      <c r="R72" s="2" t="b">
        <f t="shared" si="73"/>
        <v>0</v>
      </c>
      <c r="S72" s="2" t="b">
        <f t="shared" si="74"/>
        <v>0</v>
      </c>
      <c r="T72" s="2" t="b">
        <f t="shared" si="75"/>
        <v>1</v>
      </c>
      <c r="U72" s="2">
        <f t="shared" si="76"/>
        <v>71</v>
      </c>
      <c r="V72" s="2" t="str">
        <f t="shared" si="77"/>
        <v/>
      </c>
      <c r="W72" s="2" t="str">
        <f t="shared" si="78"/>
        <v/>
      </c>
      <c r="X72" s="2">
        <f t="shared" si="79"/>
        <v>28</v>
      </c>
      <c r="Y72" s="2" t="b">
        <f t="shared" si="80"/>
        <v>0</v>
      </c>
      <c r="Z72" s="2" t="b">
        <f t="shared" si="81"/>
        <v>1</v>
      </c>
      <c r="AA72" s="2" t="b">
        <f t="shared" si="82"/>
        <v>0</v>
      </c>
      <c r="AB72" s="2" t="b">
        <f t="shared" si="83"/>
        <v>0</v>
      </c>
      <c r="AC72" s="2" t="b">
        <f t="shared" si="84"/>
        <v>0</v>
      </c>
      <c r="AD72" s="2" t="b">
        <f t="shared" si="85"/>
        <v>1</v>
      </c>
      <c r="AF72" s="2">
        <f t="shared" si="86"/>
        <v>99</v>
      </c>
      <c r="AG72" s="2" t="b">
        <f t="shared" si="109"/>
        <v>1</v>
      </c>
      <c r="AH72" s="2" t="b">
        <f t="shared" si="110"/>
        <v>0</v>
      </c>
      <c r="AI72" s="2">
        <f t="shared" si="111"/>
        <v>99</v>
      </c>
      <c r="AJ72" s="2" t="str">
        <f t="shared" si="112"/>
        <v/>
      </c>
      <c r="AK72" s="2" t="b">
        <f t="shared" si="87"/>
        <v>1</v>
      </c>
      <c r="AL72" s="2" t="b">
        <f t="shared" si="88"/>
        <v>0</v>
      </c>
      <c r="AM72" s="2" t="b">
        <f t="shared" si="89"/>
        <v>0</v>
      </c>
      <c r="AN72" s="2" t="b">
        <f t="shared" si="90"/>
        <v>0</v>
      </c>
      <c r="AO72" s="2">
        <f t="shared" si="91"/>
        <v>71</v>
      </c>
      <c r="AP72" s="2" t="str">
        <f t="shared" si="92"/>
        <v/>
      </c>
      <c r="AQ72" s="2">
        <f t="shared" si="93"/>
        <v>28</v>
      </c>
      <c r="AR72" s="2" t="str">
        <f t="shared" si="94"/>
        <v/>
      </c>
      <c r="AS72" s="2">
        <f t="shared" si="95"/>
        <v>71</v>
      </c>
      <c r="AT72" s="2" t="str">
        <f t="shared" si="96"/>
        <v/>
      </c>
      <c r="AU72" s="2" t="str">
        <f t="shared" si="97"/>
        <v/>
      </c>
      <c r="AV72" s="2" t="str">
        <f t="shared" si="98"/>
        <v/>
      </c>
      <c r="AW72" s="2" t="str">
        <f t="shared" si="99"/>
        <v/>
      </c>
      <c r="AX72" s="2" t="str">
        <f t="shared" si="100"/>
        <v/>
      </c>
      <c r="AY72" s="2">
        <f t="shared" si="101"/>
        <v>28</v>
      </c>
      <c r="AZ72" s="2" t="str">
        <f t="shared" si="102"/>
        <v/>
      </c>
    </row>
    <row r="73" spans="2:52" hidden="1" outlineLevel="2" x14ac:dyDescent="0.25">
      <c r="B73" s="2">
        <v>72</v>
      </c>
      <c r="C73" s="2">
        <v>28</v>
      </c>
      <c r="E73" s="2" t="b">
        <f>ISPRIME(B73)</f>
        <v>0</v>
      </c>
      <c r="F73" s="2" t="b">
        <f>ISPRIME(C73)</f>
        <v>0</v>
      </c>
      <c r="G73" s="2" t="str">
        <f t="shared" si="103"/>
        <v/>
      </c>
      <c r="H73" s="2" t="str">
        <f t="shared" si="104"/>
        <v/>
      </c>
      <c r="K73" s="2" t="b">
        <f t="shared" si="105"/>
        <v>0</v>
      </c>
      <c r="L73" s="2" t="b">
        <f t="shared" si="106"/>
        <v>0</v>
      </c>
      <c r="M73" s="2" t="b">
        <f t="shared" si="107"/>
        <v>0</v>
      </c>
      <c r="N73" s="2" t="b">
        <f t="shared" si="108"/>
        <v>1</v>
      </c>
      <c r="Q73" s="2" t="b">
        <f t="shared" si="72"/>
        <v>0</v>
      </c>
      <c r="R73" s="2" t="b">
        <f t="shared" si="73"/>
        <v>1</v>
      </c>
      <c r="S73" s="2" t="b">
        <f t="shared" si="74"/>
        <v>0</v>
      </c>
      <c r="T73" s="2" t="b">
        <f t="shared" si="75"/>
        <v>1</v>
      </c>
      <c r="U73" s="2" t="str">
        <f t="shared" si="76"/>
        <v/>
      </c>
      <c r="V73" s="2">
        <f t="shared" si="77"/>
        <v>72</v>
      </c>
      <c r="W73" s="2" t="str">
        <f t="shared" si="78"/>
        <v/>
      </c>
      <c r="X73" s="2">
        <f t="shared" si="79"/>
        <v>28</v>
      </c>
      <c r="Y73" s="2" t="b">
        <f t="shared" si="80"/>
        <v>1</v>
      </c>
      <c r="Z73" s="2" t="b">
        <f t="shared" si="81"/>
        <v>0</v>
      </c>
      <c r="AA73" s="2" t="b">
        <f t="shared" si="82"/>
        <v>0</v>
      </c>
      <c r="AB73" s="2" t="b">
        <f t="shared" si="83"/>
        <v>0</v>
      </c>
      <c r="AC73" s="2" t="b">
        <f t="shared" si="84"/>
        <v>1</v>
      </c>
      <c r="AD73" s="2" t="b">
        <f t="shared" si="85"/>
        <v>0</v>
      </c>
      <c r="AF73" s="2">
        <f t="shared" si="86"/>
        <v>100</v>
      </c>
      <c r="AG73" s="2" t="b">
        <f t="shared" si="109"/>
        <v>0</v>
      </c>
      <c r="AH73" s="2" t="b">
        <f t="shared" si="110"/>
        <v>1</v>
      </c>
      <c r="AI73" s="2" t="str">
        <f t="shared" si="111"/>
        <v/>
      </c>
      <c r="AJ73" s="2">
        <f t="shared" si="112"/>
        <v>100</v>
      </c>
      <c r="AK73" s="2" t="b">
        <f t="shared" si="87"/>
        <v>0</v>
      </c>
      <c r="AL73" s="2" t="b">
        <f t="shared" si="88"/>
        <v>0</v>
      </c>
      <c r="AM73" s="2" t="b">
        <f t="shared" si="89"/>
        <v>0</v>
      </c>
      <c r="AN73" s="2" t="b">
        <f t="shared" si="90"/>
        <v>1</v>
      </c>
      <c r="AO73" s="2" t="str">
        <f t="shared" si="91"/>
        <v/>
      </c>
      <c r="AP73" s="2">
        <f t="shared" si="92"/>
        <v>72</v>
      </c>
      <c r="AQ73" s="2" t="str">
        <f t="shared" si="93"/>
        <v/>
      </c>
      <c r="AR73" s="2">
        <f t="shared" si="94"/>
        <v>28</v>
      </c>
      <c r="AS73" s="2" t="str">
        <f t="shared" si="95"/>
        <v/>
      </c>
      <c r="AT73" s="2" t="str">
        <f t="shared" si="96"/>
        <v/>
      </c>
      <c r="AU73" s="2" t="str">
        <f t="shared" si="97"/>
        <v/>
      </c>
      <c r="AV73" s="2">
        <f t="shared" si="98"/>
        <v>72</v>
      </c>
      <c r="AW73" s="2" t="str">
        <f t="shared" si="99"/>
        <v/>
      </c>
      <c r="AX73" s="2" t="str">
        <f t="shared" si="100"/>
        <v/>
      </c>
      <c r="AY73" s="2" t="str">
        <f t="shared" si="101"/>
        <v/>
      </c>
      <c r="AZ73" s="2">
        <f t="shared" si="102"/>
        <v>28</v>
      </c>
    </row>
    <row r="74" spans="2:52" hidden="1" outlineLevel="2" x14ac:dyDescent="0.25">
      <c r="B74" s="2">
        <v>73</v>
      </c>
      <c r="C74" s="2">
        <v>20</v>
      </c>
      <c r="E74" s="2" t="b">
        <f>ISPRIME(B74)</f>
        <v>1</v>
      </c>
      <c r="F74" s="2" t="b">
        <f>ISPRIME(C74)</f>
        <v>0</v>
      </c>
      <c r="G74" s="2">
        <f t="shared" si="103"/>
        <v>73</v>
      </c>
      <c r="H74" s="2" t="str">
        <f t="shared" si="104"/>
        <v/>
      </c>
      <c r="K74" s="2" t="b">
        <f t="shared" si="105"/>
        <v>0</v>
      </c>
      <c r="L74" s="2" t="b">
        <f t="shared" si="106"/>
        <v>1</v>
      </c>
      <c r="M74" s="2" t="b">
        <f t="shared" si="107"/>
        <v>0</v>
      </c>
      <c r="N74" s="2" t="b">
        <f t="shared" si="108"/>
        <v>0</v>
      </c>
      <c r="Q74" s="2" t="b">
        <f t="shared" si="72"/>
        <v>1</v>
      </c>
      <c r="R74" s="2" t="b">
        <f t="shared" si="73"/>
        <v>0</v>
      </c>
      <c r="S74" s="2" t="b">
        <f t="shared" si="74"/>
        <v>0</v>
      </c>
      <c r="T74" s="2" t="b">
        <f t="shared" si="75"/>
        <v>1</v>
      </c>
      <c r="U74" s="2">
        <f t="shared" si="76"/>
        <v>73</v>
      </c>
      <c r="V74" s="2" t="str">
        <f t="shared" si="77"/>
        <v/>
      </c>
      <c r="W74" s="2" t="str">
        <f t="shared" si="78"/>
        <v/>
      </c>
      <c r="X74" s="2">
        <f t="shared" si="79"/>
        <v>20</v>
      </c>
      <c r="Y74" s="2" t="b">
        <f t="shared" si="80"/>
        <v>0</v>
      </c>
      <c r="Z74" s="2" t="b">
        <f t="shared" si="81"/>
        <v>1</v>
      </c>
      <c r="AA74" s="2" t="b">
        <f t="shared" si="82"/>
        <v>0</v>
      </c>
      <c r="AB74" s="2" t="b">
        <f t="shared" si="83"/>
        <v>0</v>
      </c>
      <c r="AC74" s="2" t="b">
        <f t="shared" si="84"/>
        <v>0</v>
      </c>
      <c r="AD74" s="2" t="b">
        <f t="shared" si="85"/>
        <v>1</v>
      </c>
      <c r="AF74" s="2">
        <f t="shared" si="86"/>
        <v>93</v>
      </c>
      <c r="AG74" s="2" t="b">
        <f t="shared" si="109"/>
        <v>1</v>
      </c>
      <c r="AH74" s="2" t="b">
        <f t="shared" si="110"/>
        <v>0</v>
      </c>
      <c r="AI74" s="2">
        <f t="shared" si="111"/>
        <v>93</v>
      </c>
      <c r="AJ74" s="2" t="str">
        <f t="shared" si="112"/>
        <v/>
      </c>
      <c r="AK74" s="2" t="b">
        <f t="shared" si="87"/>
        <v>1</v>
      </c>
      <c r="AL74" s="2" t="b">
        <f t="shared" si="88"/>
        <v>0</v>
      </c>
      <c r="AM74" s="2" t="b">
        <f t="shared" si="89"/>
        <v>0</v>
      </c>
      <c r="AN74" s="2" t="b">
        <f t="shared" si="90"/>
        <v>0</v>
      </c>
      <c r="AO74" s="2">
        <f t="shared" si="91"/>
        <v>73</v>
      </c>
      <c r="AP74" s="2" t="str">
        <f t="shared" si="92"/>
        <v/>
      </c>
      <c r="AQ74" s="2">
        <f t="shared" si="93"/>
        <v>20</v>
      </c>
      <c r="AR74" s="2" t="str">
        <f t="shared" si="94"/>
        <v/>
      </c>
      <c r="AS74" s="2">
        <f t="shared" si="95"/>
        <v>73</v>
      </c>
      <c r="AT74" s="2" t="str">
        <f t="shared" si="96"/>
        <v/>
      </c>
      <c r="AU74" s="2" t="str">
        <f t="shared" si="97"/>
        <v/>
      </c>
      <c r="AV74" s="2" t="str">
        <f t="shared" si="98"/>
        <v/>
      </c>
      <c r="AW74" s="2" t="str">
        <f t="shared" si="99"/>
        <v/>
      </c>
      <c r="AX74" s="2" t="str">
        <f t="shared" si="100"/>
        <v/>
      </c>
      <c r="AY74" s="2">
        <f t="shared" si="101"/>
        <v>20</v>
      </c>
      <c r="AZ74" s="2" t="str">
        <f t="shared" si="102"/>
        <v/>
      </c>
    </row>
    <row r="75" spans="2:52" hidden="1" outlineLevel="2" x14ac:dyDescent="0.25">
      <c r="B75" s="2">
        <v>74</v>
      </c>
      <c r="C75" s="2">
        <v>56</v>
      </c>
      <c r="E75" s="2" t="b">
        <f>ISPRIME(B75)</f>
        <v>0</v>
      </c>
      <c r="F75" s="2" t="b">
        <f>ISPRIME(C75)</f>
        <v>0</v>
      </c>
      <c r="G75" s="2" t="str">
        <f t="shared" si="103"/>
        <v/>
      </c>
      <c r="H75" s="2" t="str">
        <f t="shared" si="104"/>
        <v/>
      </c>
      <c r="K75" s="2" t="b">
        <f t="shared" si="105"/>
        <v>0</v>
      </c>
      <c r="L75" s="2" t="b">
        <f t="shared" si="106"/>
        <v>0</v>
      </c>
      <c r="M75" s="2" t="b">
        <f t="shared" si="107"/>
        <v>0</v>
      </c>
      <c r="N75" s="2" t="b">
        <f t="shared" si="108"/>
        <v>1</v>
      </c>
      <c r="Q75" s="2" t="b">
        <f t="shared" si="72"/>
        <v>0</v>
      </c>
      <c r="R75" s="2" t="b">
        <f t="shared" si="73"/>
        <v>1</v>
      </c>
      <c r="S75" s="2" t="b">
        <f t="shared" si="74"/>
        <v>0</v>
      </c>
      <c r="T75" s="2" t="b">
        <f t="shared" si="75"/>
        <v>1</v>
      </c>
      <c r="U75" s="2" t="str">
        <f t="shared" si="76"/>
        <v/>
      </c>
      <c r="V75" s="2">
        <f t="shared" si="77"/>
        <v>74</v>
      </c>
      <c r="W75" s="2" t="str">
        <f t="shared" si="78"/>
        <v/>
      </c>
      <c r="X75" s="2">
        <f t="shared" si="79"/>
        <v>56</v>
      </c>
      <c r="Y75" s="2" t="b">
        <f t="shared" si="80"/>
        <v>1</v>
      </c>
      <c r="Z75" s="2" t="b">
        <f t="shared" si="81"/>
        <v>0</v>
      </c>
      <c r="AA75" s="2" t="b">
        <f t="shared" si="82"/>
        <v>0</v>
      </c>
      <c r="AB75" s="2" t="b">
        <f t="shared" si="83"/>
        <v>0</v>
      </c>
      <c r="AC75" s="2" t="b">
        <f t="shared" si="84"/>
        <v>1</v>
      </c>
      <c r="AD75" s="2" t="b">
        <f t="shared" si="85"/>
        <v>0</v>
      </c>
      <c r="AF75" s="2">
        <f t="shared" si="86"/>
        <v>130</v>
      </c>
      <c r="AG75" s="2" t="b">
        <f t="shared" si="109"/>
        <v>0</v>
      </c>
      <c r="AH75" s="2" t="b">
        <f t="shared" si="110"/>
        <v>1</v>
      </c>
      <c r="AI75" s="2" t="str">
        <f t="shared" si="111"/>
        <v/>
      </c>
      <c r="AJ75" s="2">
        <f t="shared" si="112"/>
        <v>130</v>
      </c>
      <c r="AK75" s="2" t="b">
        <f t="shared" si="87"/>
        <v>0</v>
      </c>
      <c r="AL75" s="2" t="b">
        <f t="shared" si="88"/>
        <v>0</v>
      </c>
      <c r="AM75" s="2" t="b">
        <f t="shared" si="89"/>
        <v>0</v>
      </c>
      <c r="AN75" s="2" t="b">
        <f t="shared" si="90"/>
        <v>1</v>
      </c>
      <c r="AO75" s="2" t="str">
        <f t="shared" si="91"/>
        <v/>
      </c>
      <c r="AP75" s="2">
        <f t="shared" si="92"/>
        <v>74</v>
      </c>
      <c r="AQ75" s="2" t="str">
        <f t="shared" si="93"/>
        <v/>
      </c>
      <c r="AR75" s="2">
        <f t="shared" si="94"/>
        <v>56</v>
      </c>
      <c r="AS75" s="2" t="str">
        <f t="shared" si="95"/>
        <v/>
      </c>
      <c r="AT75" s="2" t="str">
        <f t="shared" si="96"/>
        <v/>
      </c>
      <c r="AU75" s="2" t="str">
        <f t="shared" si="97"/>
        <v/>
      </c>
      <c r="AV75" s="2">
        <f t="shared" si="98"/>
        <v>74</v>
      </c>
      <c r="AW75" s="2" t="str">
        <f t="shared" si="99"/>
        <v/>
      </c>
      <c r="AX75" s="2" t="str">
        <f t="shared" si="100"/>
        <v/>
      </c>
      <c r="AY75" s="2" t="str">
        <f t="shared" si="101"/>
        <v/>
      </c>
      <c r="AZ75" s="2">
        <f t="shared" si="102"/>
        <v>56</v>
      </c>
    </row>
    <row r="76" spans="2:52" hidden="1" outlineLevel="2" x14ac:dyDescent="0.25">
      <c r="B76" s="2">
        <v>75</v>
      </c>
      <c r="C76" s="2">
        <v>40</v>
      </c>
      <c r="E76" s="2" t="b">
        <f>ISPRIME(B76)</f>
        <v>0</v>
      </c>
      <c r="F76" s="2" t="b">
        <f>ISPRIME(C76)</f>
        <v>0</v>
      </c>
      <c r="G76" s="2" t="str">
        <f t="shared" si="103"/>
        <v/>
      </c>
      <c r="H76" s="2" t="str">
        <f t="shared" si="104"/>
        <v/>
      </c>
      <c r="K76" s="2" t="b">
        <f t="shared" si="105"/>
        <v>0</v>
      </c>
      <c r="L76" s="2" t="b">
        <f t="shared" si="106"/>
        <v>0</v>
      </c>
      <c r="M76" s="2" t="b">
        <f t="shared" si="107"/>
        <v>0</v>
      </c>
      <c r="N76" s="2" t="b">
        <f t="shared" si="108"/>
        <v>1</v>
      </c>
      <c r="Q76" s="2" t="b">
        <f t="shared" si="72"/>
        <v>1</v>
      </c>
      <c r="R76" s="2" t="b">
        <f t="shared" si="73"/>
        <v>0</v>
      </c>
      <c r="S76" s="2" t="b">
        <f t="shared" si="74"/>
        <v>0</v>
      </c>
      <c r="T76" s="2" t="b">
        <f t="shared" si="75"/>
        <v>1</v>
      </c>
      <c r="U76" s="2">
        <f t="shared" si="76"/>
        <v>75</v>
      </c>
      <c r="V76" s="2" t="str">
        <f t="shared" si="77"/>
        <v/>
      </c>
      <c r="W76" s="2" t="str">
        <f t="shared" si="78"/>
        <v/>
      </c>
      <c r="X76" s="2">
        <f t="shared" si="79"/>
        <v>40</v>
      </c>
      <c r="Y76" s="2" t="b">
        <f t="shared" si="80"/>
        <v>0</v>
      </c>
      <c r="Z76" s="2" t="b">
        <f t="shared" si="81"/>
        <v>1</v>
      </c>
      <c r="AA76" s="2" t="b">
        <f t="shared" si="82"/>
        <v>0</v>
      </c>
      <c r="AB76" s="2" t="b">
        <f t="shared" si="83"/>
        <v>0</v>
      </c>
      <c r="AC76" s="2" t="b">
        <f t="shared" si="84"/>
        <v>0</v>
      </c>
      <c r="AD76" s="2" t="b">
        <f t="shared" si="85"/>
        <v>1</v>
      </c>
      <c r="AF76" s="2">
        <f t="shared" si="86"/>
        <v>115</v>
      </c>
      <c r="AG76" s="2" t="b">
        <f t="shared" si="109"/>
        <v>1</v>
      </c>
      <c r="AH76" s="2" t="b">
        <f t="shared" si="110"/>
        <v>0</v>
      </c>
      <c r="AI76" s="2">
        <f t="shared" si="111"/>
        <v>115</v>
      </c>
      <c r="AJ76" s="2" t="str">
        <f t="shared" si="112"/>
        <v/>
      </c>
      <c r="AK76" s="2" t="b">
        <f t="shared" si="87"/>
        <v>1</v>
      </c>
      <c r="AL76" s="2" t="b">
        <f t="shared" si="88"/>
        <v>0</v>
      </c>
      <c r="AM76" s="2" t="b">
        <f t="shared" si="89"/>
        <v>0</v>
      </c>
      <c r="AN76" s="2" t="b">
        <f t="shared" si="90"/>
        <v>0</v>
      </c>
      <c r="AO76" s="2">
        <f t="shared" si="91"/>
        <v>75</v>
      </c>
      <c r="AP76" s="2" t="str">
        <f t="shared" si="92"/>
        <v/>
      </c>
      <c r="AQ76" s="2">
        <f t="shared" si="93"/>
        <v>40</v>
      </c>
      <c r="AR76" s="2" t="str">
        <f t="shared" si="94"/>
        <v/>
      </c>
      <c r="AS76" s="2">
        <f t="shared" si="95"/>
        <v>75</v>
      </c>
      <c r="AT76" s="2" t="str">
        <f t="shared" si="96"/>
        <v/>
      </c>
      <c r="AU76" s="2" t="str">
        <f t="shared" si="97"/>
        <v/>
      </c>
      <c r="AV76" s="2" t="str">
        <f t="shared" si="98"/>
        <v/>
      </c>
      <c r="AW76" s="2" t="str">
        <f t="shared" si="99"/>
        <v/>
      </c>
      <c r="AX76" s="2" t="str">
        <f t="shared" si="100"/>
        <v/>
      </c>
      <c r="AY76" s="2">
        <f t="shared" si="101"/>
        <v>40</v>
      </c>
      <c r="AZ76" s="2" t="str">
        <f t="shared" si="102"/>
        <v/>
      </c>
    </row>
    <row r="77" spans="2:52" hidden="1" outlineLevel="2" x14ac:dyDescent="0.25">
      <c r="B77" s="2">
        <v>76</v>
      </c>
      <c r="C77" s="2">
        <v>31</v>
      </c>
      <c r="E77" s="2" t="b">
        <f>ISPRIME(B77)</f>
        <v>0</v>
      </c>
      <c r="F77" s="2" t="b">
        <f>ISPRIME(C77)</f>
        <v>1</v>
      </c>
      <c r="G77" s="2" t="str">
        <f t="shared" si="103"/>
        <v/>
      </c>
      <c r="H77" s="2">
        <f t="shared" si="104"/>
        <v>31</v>
      </c>
      <c r="K77" s="2" t="b">
        <f t="shared" si="105"/>
        <v>0</v>
      </c>
      <c r="L77" s="2" t="b">
        <f t="shared" si="106"/>
        <v>0</v>
      </c>
      <c r="M77" s="2" t="b">
        <f t="shared" si="107"/>
        <v>1</v>
      </c>
      <c r="N77" s="2" t="b">
        <f t="shared" si="108"/>
        <v>0</v>
      </c>
      <c r="Q77" s="2" t="b">
        <f t="shared" si="72"/>
        <v>0</v>
      </c>
      <c r="R77" s="2" t="b">
        <f t="shared" si="73"/>
        <v>1</v>
      </c>
      <c r="S77" s="2" t="b">
        <f t="shared" si="74"/>
        <v>1</v>
      </c>
      <c r="T77" s="2" t="b">
        <f t="shared" si="75"/>
        <v>0</v>
      </c>
      <c r="U77" s="2" t="str">
        <f t="shared" si="76"/>
        <v/>
      </c>
      <c r="V77" s="2">
        <f t="shared" si="77"/>
        <v>76</v>
      </c>
      <c r="W77" s="2">
        <f t="shared" si="78"/>
        <v>31</v>
      </c>
      <c r="X77" s="2" t="str">
        <f t="shared" si="79"/>
        <v/>
      </c>
      <c r="Y77" s="2" t="b">
        <f t="shared" si="80"/>
        <v>0</v>
      </c>
      <c r="Z77" s="2" t="b">
        <f t="shared" si="81"/>
        <v>1</v>
      </c>
      <c r="AA77" s="2" t="b">
        <f t="shared" si="82"/>
        <v>0</v>
      </c>
      <c r="AB77" s="2" t="b">
        <f t="shared" si="83"/>
        <v>1</v>
      </c>
      <c r="AC77" s="2" t="b">
        <f t="shared" si="84"/>
        <v>0</v>
      </c>
      <c r="AD77" s="2" t="b">
        <f t="shared" si="85"/>
        <v>0</v>
      </c>
      <c r="AF77" s="2">
        <f t="shared" si="86"/>
        <v>107</v>
      </c>
      <c r="AG77" s="2" t="b">
        <f t="shared" si="109"/>
        <v>1</v>
      </c>
      <c r="AH77" s="2" t="b">
        <f t="shared" si="110"/>
        <v>0</v>
      </c>
      <c r="AI77" s="2">
        <f t="shared" si="111"/>
        <v>107</v>
      </c>
      <c r="AJ77" s="2" t="str">
        <f t="shared" si="112"/>
        <v/>
      </c>
      <c r="AK77" s="2" t="b">
        <f t="shared" si="87"/>
        <v>0</v>
      </c>
      <c r="AL77" s="2" t="b">
        <f t="shared" si="88"/>
        <v>0</v>
      </c>
      <c r="AM77" s="2" t="b">
        <f t="shared" si="89"/>
        <v>1</v>
      </c>
      <c r="AN77" s="2" t="b">
        <f t="shared" si="90"/>
        <v>0</v>
      </c>
      <c r="AO77" s="2">
        <f t="shared" si="91"/>
        <v>76</v>
      </c>
      <c r="AP77" s="2" t="str">
        <f t="shared" si="92"/>
        <v/>
      </c>
      <c r="AQ77" s="2">
        <f t="shared" si="93"/>
        <v>31</v>
      </c>
      <c r="AR77" s="2" t="str">
        <f t="shared" si="94"/>
        <v/>
      </c>
      <c r="AS77" s="2" t="str">
        <f t="shared" si="95"/>
        <v/>
      </c>
      <c r="AT77" s="2" t="str">
        <f t="shared" si="96"/>
        <v/>
      </c>
      <c r="AU77" s="2">
        <f t="shared" si="97"/>
        <v>76</v>
      </c>
      <c r="AV77" s="2" t="str">
        <f t="shared" si="98"/>
        <v/>
      </c>
      <c r="AW77" s="2">
        <f t="shared" si="99"/>
        <v>31</v>
      </c>
      <c r="AX77" s="2" t="str">
        <f t="shared" si="100"/>
        <v/>
      </c>
      <c r="AY77" s="2" t="str">
        <f t="shared" si="101"/>
        <v/>
      </c>
      <c r="AZ77" s="2" t="str">
        <f t="shared" si="102"/>
        <v/>
      </c>
    </row>
    <row r="78" spans="2:52" hidden="1" outlineLevel="2" x14ac:dyDescent="0.25">
      <c r="B78" s="2">
        <v>77</v>
      </c>
      <c r="C78" s="2">
        <v>50</v>
      </c>
      <c r="E78" s="2" t="b">
        <f>ISPRIME(B78)</f>
        <v>0</v>
      </c>
      <c r="F78" s="2" t="b">
        <f>ISPRIME(C78)</f>
        <v>0</v>
      </c>
      <c r="G78" s="2" t="str">
        <f t="shared" si="103"/>
        <v/>
      </c>
      <c r="H78" s="2" t="str">
        <f t="shared" si="104"/>
        <v/>
      </c>
      <c r="K78" s="2" t="b">
        <f t="shared" si="105"/>
        <v>0</v>
      </c>
      <c r="L78" s="2" t="b">
        <f t="shared" si="106"/>
        <v>0</v>
      </c>
      <c r="M78" s="2" t="b">
        <f t="shared" si="107"/>
        <v>0</v>
      </c>
      <c r="N78" s="2" t="b">
        <f t="shared" si="108"/>
        <v>1</v>
      </c>
      <c r="Q78" s="2" t="b">
        <f t="shared" si="72"/>
        <v>1</v>
      </c>
      <c r="R78" s="2" t="b">
        <f t="shared" si="73"/>
        <v>0</v>
      </c>
      <c r="S78" s="2" t="b">
        <f t="shared" si="74"/>
        <v>0</v>
      </c>
      <c r="T78" s="2" t="b">
        <f t="shared" si="75"/>
        <v>1</v>
      </c>
      <c r="U78" s="2">
        <f t="shared" si="76"/>
        <v>77</v>
      </c>
      <c r="V78" s="2" t="str">
        <f t="shared" si="77"/>
        <v/>
      </c>
      <c r="W78" s="2" t="str">
        <f t="shared" si="78"/>
        <v/>
      </c>
      <c r="X78" s="2">
        <f t="shared" si="79"/>
        <v>50</v>
      </c>
      <c r="Y78" s="2" t="b">
        <f t="shared" si="80"/>
        <v>0</v>
      </c>
      <c r="Z78" s="2" t="b">
        <f t="shared" si="81"/>
        <v>1</v>
      </c>
      <c r="AA78" s="2" t="b">
        <f t="shared" si="82"/>
        <v>0</v>
      </c>
      <c r="AB78" s="2" t="b">
        <f t="shared" si="83"/>
        <v>0</v>
      </c>
      <c r="AC78" s="2" t="b">
        <f t="shared" si="84"/>
        <v>0</v>
      </c>
      <c r="AD78" s="2" t="b">
        <f t="shared" si="85"/>
        <v>1</v>
      </c>
      <c r="AF78" s="2">
        <f t="shared" si="86"/>
        <v>127</v>
      </c>
      <c r="AG78" s="2" t="b">
        <f t="shared" si="109"/>
        <v>1</v>
      </c>
      <c r="AH78" s="2" t="b">
        <f t="shared" si="110"/>
        <v>0</v>
      </c>
      <c r="AI78" s="2">
        <f t="shared" si="111"/>
        <v>127</v>
      </c>
      <c r="AJ78" s="2" t="str">
        <f t="shared" si="112"/>
        <v/>
      </c>
      <c r="AK78" s="2" t="b">
        <f t="shared" si="87"/>
        <v>1</v>
      </c>
      <c r="AL78" s="2" t="b">
        <f t="shared" si="88"/>
        <v>0</v>
      </c>
      <c r="AM78" s="2" t="b">
        <f t="shared" si="89"/>
        <v>0</v>
      </c>
      <c r="AN78" s="2" t="b">
        <f t="shared" si="90"/>
        <v>0</v>
      </c>
      <c r="AO78" s="2">
        <f t="shared" si="91"/>
        <v>77</v>
      </c>
      <c r="AP78" s="2" t="str">
        <f t="shared" si="92"/>
        <v/>
      </c>
      <c r="AQ78" s="2">
        <f t="shared" si="93"/>
        <v>50</v>
      </c>
      <c r="AR78" s="2" t="str">
        <f t="shared" si="94"/>
        <v/>
      </c>
      <c r="AS78" s="2">
        <f t="shared" si="95"/>
        <v>77</v>
      </c>
      <c r="AT78" s="2" t="str">
        <f t="shared" si="96"/>
        <v/>
      </c>
      <c r="AU78" s="2" t="str">
        <f t="shared" si="97"/>
        <v/>
      </c>
      <c r="AV78" s="2" t="str">
        <f t="shared" si="98"/>
        <v/>
      </c>
      <c r="AW78" s="2" t="str">
        <f t="shared" si="99"/>
        <v/>
      </c>
      <c r="AX78" s="2" t="str">
        <f t="shared" si="100"/>
        <v/>
      </c>
      <c r="AY78" s="2">
        <f t="shared" si="101"/>
        <v>50</v>
      </c>
      <c r="AZ78" s="2" t="str">
        <f t="shared" si="102"/>
        <v/>
      </c>
    </row>
    <row r="79" spans="2:52" hidden="1" outlineLevel="2" x14ac:dyDescent="0.25">
      <c r="B79" s="2">
        <v>78</v>
      </c>
      <c r="C79" s="2">
        <v>40</v>
      </c>
      <c r="E79" s="2" t="b">
        <f>ISPRIME(B79)</f>
        <v>0</v>
      </c>
      <c r="F79" s="2" t="b">
        <f>ISPRIME(C79)</f>
        <v>0</v>
      </c>
      <c r="G79" s="2" t="str">
        <f t="shared" si="103"/>
        <v/>
      </c>
      <c r="H79" s="2" t="str">
        <f t="shared" si="104"/>
        <v/>
      </c>
      <c r="K79" s="2" t="b">
        <f t="shared" si="105"/>
        <v>0</v>
      </c>
      <c r="L79" s="2" t="b">
        <f t="shared" si="106"/>
        <v>0</v>
      </c>
      <c r="M79" s="2" t="b">
        <f t="shared" si="107"/>
        <v>0</v>
      </c>
      <c r="N79" s="2" t="b">
        <f t="shared" si="108"/>
        <v>1</v>
      </c>
      <c r="Q79" s="2" t="b">
        <f t="shared" si="72"/>
        <v>0</v>
      </c>
      <c r="R79" s="2" t="b">
        <f t="shared" si="73"/>
        <v>1</v>
      </c>
      <c r="S79" s="2" t="b">
        <f t="shared" si="74"/>
        <v>0</v>
      </c>
      <c r="T79" s="2" t="b">
        <f t="shared" si="75"/>
        <v>1</v>
      </c>
      <c r="U79" s="2" t="str">
        <f t="shared" si="76"/>
        <v/>
      </c>
      <c r="V79" s="2">
        <f t="shared" si="77"/>
        <v>78</v>
      </c>
      <c r="W79" s="2" t="str">
        <f t="shared" si="78"/>
        <v/>
      </c>
      <c r="X79" s="2">
        <f t="shared" si="79"/>
        <v>40</v>
      </c>
      <c r="Y79" s="2" t="b">
        <f t="shared" si="80"/>
        <v>1</v>
      </c>
      <c r="Z79" s="2" t="b">
        <f t="shared" si="81"/>
        <v>0</v>
      </c>
      <c r="AA79" s="2" t="b">
        <f t="shared" si="82"/>
        <v>0</v>
      </c>
      <c r="AB79" s="2" t="b">
        <f t="shared" si="83"/>
        <v>0</v>
      </c>
      <c r="AC79" s="2" t="b">
        <f t="shared" si="84"/>
        <v>1</v>
      </c>
      <c r="AD79" s="2" t="b">
        <f t="shared" si="85"/>
        <v>0</v>
      </c>
      <c r="AF79" s="2">
        <f t="shared" si="86"/>
        <v>118</v>
      </c>
      <c r="AG79" s="2" t="b">
        <f t="shared" si="109"/>
        <v>0</v>
      </c>
      <c r="AH79" s="2" t="b">
        <f t="shared" si="110"/>
        <v>1</v>
      </c>
      <c r="AI79" s="2" t="str">
        <f t="shared" si="111"/>
        <v/>
      </c>
      <c r="AJ79" s="2">
        <f t="shared" si="112"/>
        <v>118</v>
      </c>
      <c r="AK79" s="2" t="b">
        <f t="shared" si="87"/>
        <v>0</v>
      </c>
      <c r="AL79" s="2" t="b">
        <f t="shared" si="88"/>
        <v>0</v>
      </c>
      <c r="AM79" s="2" t="b">
        <f t="shared" si="89"/>
        <v>0</v>
      </c>
      <c r="AN79" s="2" t="b">
        <f t="shared" si="90"/>
        <v>1</v>
      </c>
      <c r="AO79" s="2" t="str">
        <f t="shared" si="91"/>
        <v/>
      </c>
      <c r="AP79" s="2">
        <f t="shared" si="92"/>
        <v>78</v>
      </c>
      <c r="AQ79" s="2" t="str">
        <f t="shared" si="93"/>
        <v/>
      </c>
      <c r="AR79" s="2">
        <f t="shared" si="94"/>
        <v>40</v>
      </c>
      <c r="AS79" s="2" t="str">
        <f t="shared" si="95"/>
        <v/>
      </c>
      <c r="AT79" s="2" t="str">
        <f t="shared" si="96"/>
        <v/>
      </c>
      <c r="AU79" s="2" t="str">
        <f t="shared" si="97"/>
        <v/>
      </c>
      <c r="AV79" s="2">
        <f t="shared" si="98"/>
        <v>78</v>
      </c>
      <c r="AW79" s="2" t="str">
        <f t="shared" si="99"/>
        <v/>
      </c>
      <c r="AX79" s="2" t="str">
        <f t="shared" si="100"/>
        <v/>
      </c>
      <c r="AY79" s="2" t="str">
        <f t="shared" si="101"/>
        <v/>
      </c>
      <c r="AZ79" s="2">
        <f t="shared" si="102"/>
        <v>40</v>
      </c>
    </row>
    <row r="80" spans="2:52" hidden="1" outlineLevel="2" x14ac:dyDescent="0.25">
      <c r="B80" s="2">
        <v>79</v>
      </c>
      <c r="C80" s="2">
        <v>46</v>
      </c>
      <c r="E80" s="2" t="b">
        <f>ISPRIME(B80)</f>
        <v>1</v>
      </c>
      <c r="F80" s="2" t="b">
        <f>ISPRIME(C80)</f>
        <v>0</v>
      </c>
      <c r="G80" s="2">
        <f t="shared" si="103"/>
        <v>79</v>
      </c>
      <c r="H80" s="2" t="str">
        <f t="shared" si="104"/>
        <v/>
      </c>
      <c r="K80" s="2" t="b">
        <f t="shared" si="105"/>
        <v>0</v>
      </c>
      <c r="L80" s="2" t="b">
        <f t="shared" si="106"/>
        <v>1</v>
      </c>
      <c r="M80" s="2" t="b">
        <f t="shared" si="107"/>
        <v>0</v>
      </c>
      <c r="N80" s="2" t="b">
        <f t="shared" si="108"/>
        <v>0</v>
      </c>
      <c r="Q80" s="2" t="b">
        <f t="shared" si="72"/>
        <v>1</v>
      </c>
      <c r="R80" s="2" t="b">
        <f t="shared" si="73"/>
        <v>0</v>
      </c>
      <c r="S80" s="2" t="b">
        <f t="shared" si="74"/>
        <v>0</v>
      </c>
      <c r="T80" s="2" t="b">
        <f t="shared" si="75"/>
        <v>1</v>
      </c>
      <c r="U80" s="2">
        <f t="shared" si="76"/>
        <v>79</v>
      </c>
      <c r="V80" s="2" t="str">
        <f t="shared" si="77"/>
        <v/>
      </c>
      <c r="W80" s="2" t="str">
        <f t="shared" si="78"/>
        <v/>
      </c>
      <c r="X80" s="2">
        <f t="shared" si="79"/>
        <v>46</v>
      </c>
      <c r="Y80" s="2" t="b">
        <f t="shared" si="80"/>
        <v>0</v>
      </c>
      <c r="Z80" s="2" t="b">
        <f t="shared" si="81"/>
        <v>1</v>
      </c>
      <c r="AA80" s="2" t="b">
        <f t="shared" si="82"/>
        <v>0</v>
      </c>
      <c r="AB80" s="2" t="b">
        <f t="shared" si="83"/>
        <v>0</v>
      </c>
      <c r="AC80" s="2" t="b">
        <f t="shared" si="84"/>
        <v>0</v>
      </c>
      <c r="AD80" s="2" t="b">
        <f t="shared" si="85"/>
        <v>1</v>
      </c>
      <c r="AF80" s="2">
        <f t="shared" si="86"/>
        <v>125</v>
      </c>
      <c r="AG80" s="2" t="b">
        <f t="shared" si="109"/>
        <v>1</v>
      </c>
      <c r="AH80" s="2" t="b">
        <f t="shared" si="110"/>
        <v>0</v>
      </c>
      <c r="AI80" s="2">
        <f t="shared" si="111"/>
        <v>125</v>
      </c>
      <c r="AJ80" s="2" t="str">
        <f t="shared" si="112"/>
        <v/>
      </c>
      <c r="AK80" s="2" t="b">
        <f t="shared" si="87"/>
        <v>1</v>
      </c>
      <c r="AL80" s="2" t="b">
        <f t="shared" si="88"/>
        <v>0</v>
      </c>
      <c r="AM80" s="2" t="b">
        <f t="shared" si="89"/>
        <v>0</v>
      </c>
      <c r="AN80" s="2" t="b">
        <f t="shared" si="90"/>
        <v>0</v>
      </c>
      <c r="AO80" s="2">
        <f t="shared" si="91"/>
        <v>79</v>
      </c>
      <c r="AP80" s="2" t="str">
        <f t="shared" si="92"/>
        <v/>
      </c>
      <c r="AQ80" s="2">
        <f t="shared" si="93"/>
        <v>46</v>
      </c>
      <c r="AR80" s="2" t="str">
        <f t="shared" si="94"/>
        <v/>
      </c>
      <c r="AS80" s="2">
        <f t="shared" si="95"/>
        <v>79</v>
      </c>
      <c r="AT80" s="2" t="str">
        <f t="shared" si="96"/>
        <v/>
      </c>
      <c r="AU80" s="2" t="str">
        <f t="shared" si="97"/>
        <v/>
      </c>
      <c r="AV80" s="2" t="str">
        <f t="shared" si="98"/>
        <v/>
      </c>
      <c r="AW80" s="2" t="str">
        <f t="shared" si="99"/>
        <v/>
      </c>
      <c r="AX80" s="2" t="str">
        <f t="shared" si="100"/>
        <v/>
      </c>
      <c r="AY80" s="2">
        <f t="shared" si="101"/>
        <v>46</v>
      </c>
      <c r="AZ80" s="2" t="str">
        <f t="shared" si="102"/>
        <v/>
      </c>
    </row>
    <row r="81" spans="2:52" hidden="1" outlineLevel="2" x14ac:dyDescent="0.25">
      <c r="B81" s="2">
        <v>80</v>
      </c>
      <c r="C81" s="2">
        <v>42</v>
      </c>
      <c r="E81" s="2" t="b">
        <f>ISPRIME(B81)</f>
        <v>0</v>
      </c>
      <c r="F81" s="2" t="b">
        <f>ISPRIME(C81)</f>
        <v>0</v>
      </c>
      <c r="G81" s="2" t="str">
        <f t="shared" si="103"/>
        <v/>
      </c>
      <c r="H81" s="2" t="str">
        <f t="shared" si="104"/>
        <v/>
      </c>
      <c r="K81" s="2" t="b">
        <f t="shared" si="105"/>
        <v>0</v>
      </c>
      <c r="L81" s="2" t="b">
        <f t="shared" si="106"/>
        <v>0</v>
      </c>
      <c r="M81" s="2" t="b">
        <f t="shared" si="107"/>
        <v>0</v>
      </c>
      <c r="N81" s="2" t="b">
        <f t="shared" si="108"/>
        <v>1</v>
      </c>
      <c r="Q81" s="2" t="b">
        <f t="shared" si="72"/>
        <v>0</v>
      </c>
      <c r="R81" s="2" t="b">
        <f t="shared" si="73"/>
        <v>1</v>
      </c>
      <c r="S81" s="2" t="b">
        <f t="shared" si="74"/>
        <v>0</v>
      </c>
      <c r="T81" s="2" t="b">
        <f t="shared" si="75"/>
        <v>1</v>
      </c>
      <c r="U81" s="2" t="str">
        <f t="shared" si="76"/>
        <v/>
      </c>
      <c r="V81" s="2">
        <f t="shared" si="77"/>
        <v>80</v>
      </c>
      <c r="W81" s="2" t="str">
        <f t="shared" si="78"/>
        <v/>
      </c>
      <c r="X81" s="2">
        <f t="shared" si="79"/>
        <v>42</v>
      </c>
      <c r="Y81" s="2" t="b">
        <f t="shared" si="80"/>
        <v>1</v>
      </c>
      <c r="Z81" s="2" t="b">
        <f t="shared" si="81"/>
        <v>0</v>
      </c>
      <c r="AA81" s="2" t="b">
        <f t="shared" si="82"/>
        <v>0</v>
      </c>
      <c r="AB81" s="2" t="b">
        <f t="shared" si="83"/>
        <v>0</v>
      </c>
      <c r="AC81" s="2" t="b">
        <f t="shared" si="84"/>
        <v>1</v>
      </c>
      <c r="AD81" s="2" t="b">
        <f t="shared" si="85"/>
        <v>0</v>
      </c>
      <c r="AF81" s="2">
        <f t="shared" si="86"/>
        <v>122</v>
      </c>
      <c r="AG81" s="2" t="b">
        <f t="shared" si="109"/>
        <v>0</v>
      </c>
      <c r="AH81" s="2" t="b">
        <f t="shared" si="110"/>
        <v>1</v>
      </c>
      <c r="AI81" s="2" t="str">
        <f t="shared" si="111"/>
        <v/>
      </c>
      <c r="AJ81" s="2">
        <f t="shared" si="112"/>
        <v>122</v>
      </c>
      <c r="AK81" s="2" t="b">
        <f t="shared" si="87"/>
        <v>0</v>
      </c>
      <c r="AL81" s="2" t="b">
        <f t="shared" si="88"/>
        <v>0</v>
      </c>
      <c r="AM81" s="2" t="b">
        <f t="shared" si="89"/>
        <v>0</v>
      </c>
      <c r="AN81" s="2" t="b">
        <f t="shared" si="90"/>
        <v>1</v>
      </c>
      <c r="AO81" s="2" t="str">
        <f t="shared" si="91"/>
        <v/>
      </c>
      <c r="AP81" s="2">
        <f t="shared" si="92"/>
        <v>80</v>
      </c>
      <c r="AQ81" s="2" t="str">
        <f t="shared" si="93"/>
        <v/>
      </c>
      <c r="AR81" s="2">
        <f t="shared" si="94"/>
        <v>42</v>
      </c>
      <c r="AS81" s="2" t="str">
        <f t="shared" si="95"/>
        <v/>
      </c>
      <c r="AT81" s="2" t="str">
        <f t="shared" si="96"/>
        <v/>
      </c>
      <c r="AU81" s="2" t="str">
        <f t="shared" si="97"/>
        <v/>
      </c>
      <c r="AV81" s="2">
        <f t="shared" si="98"/>
        <v>80</v>
      </c>
      <c r="AW81" s="2" t="str">
        <f t="shared" si="99"/>
        <v/>
      </c>
      <c r="AX81" s="2" t="str">
        <f t="shared" si="100"/>
        <v/>
      </c>
      <c r="AY81" s="2" t="str">
        <f t="shared" si="101"/>
        <v/>
      </c>
      <c r="AZ81" s="2">
        <f t="shared" si="102"/>
        <v>42</v>
      </c>
    </row>
    <row r="82" spans="2:52" hidden="1" outlineLevel="2" x14ac:dyDescent="0.25">
      <c r="B82" s="2">
        <v>81</v>
      </c>
      <c r="C82" s="2">
        <v>29</v>
      </c>
      <c r="E82" s="2" t="b">
        <f>ISPRIME(B82)</f>
        <v>0</v>
      </c>
      <c r="F82" s="2" t="b">
        <f>ISPRIME(C82)</f>
        <v>1</v>
      </c>
      <c r="G82" s="2" t="str">
        <f t="shared" si="103"/>
        <v/>
      </c>
      <c r="H82" s="2">
        <f t="shared" si="104"/>
        <v>29</v>
      </c>
      <c r="K82" s="2" t="b">
        <f t="shared" si="105"/>
        <v>0</v>
      </c>
      <c r="L82" s="2" t="b">
        <f t="shared" si="106"/>
        <v>0</v>
      </c>
      <c r="M82" s="2" t="b">
        <f t="shared" si="107"/>
        <v>1</v>
      </c>
      <c r="N82" s="2" t="b">
        <f t="shared" si="108"/>
        <v>0</v>
      </c>
      <c r="Q82" s="2" t="b">
        <f t="shared" si="72"/>
        <v>1</v>
      </c>
      <c r="R82" s="2" t="b">
        <f t="shared" si="73"/>
        <v>0</v>
      </c>
      <c r="S82" s="2" t="b">
        <f t="shared" si="74"/>
        <v>1</v>
      </c>
      <c r="T82" s="2" t="b">
        <f t="shared" si="75"/>
        <v>0</v>
      </c>
      <c r="U82" s="2">
        <f t="shared" si="76"/>
        <v>81</v>
      </c>
      <c r="V82" s="2" t="str">
        <f t="shared" si="77"/>
        <v/>
      </c>
      <c r="W82" s="2">
        <f t="shared" si="78"/>
        <v>29</v>
      </c>
      <c r="X82" s="2" t="str">
        <f t="shared" si="79"/>
        <v/>
      </c>
      <c r="Y82" s="2" t="b">
        <f t="shared" si="80"/>
        <v>1</v>
      </c>
      <c r="Z82" s="2" t="b">
        <f t="shared" si="81"/>
        <v>0</v>
      </c>
      <c r="AA82" s="2" t="b">
        <f t="shared" si="82"/>
        <v>1</v>
      </c>
      <c r="AB82" s="2" t="b">
        <f t="shared" si="83"/>
        <v>0</v>
      </c>
      <c r="AC82" s="2" t="b">
        <f t="shared" si="84"/>
        <v>0</v>
      </c>
      <c r="AD82" s="2" t="b">
        <f t="shared" si="85"/>
        <v>0</v>
      </c>
      <c r="AF82" s="2">
        <f t="shared" si="86"/>
        <v>110</v>
      </c>
      <c r="AG82" s="2" t="b">
        <f t="shared" si="109"/>
        <v>0</v>
      </c>
      <c r="AH82" s="2" t="b">
        <f t="shared" si="110"/>
        <v>1</v>
      </c>
      <c r="AI82" s="2" t="str">
        <f t="shared" si="111"/>
        <v/>
      </c>
      <c r="AJ82" s="2">
        <f t="shared" si="112"/>
        <v>110</v>
      </c>
      <c r="AK82" s="2" t="b">
        <f t="shared" si="87"/>
        <v>0</v>
      </c>
      <c r="AL82" s="2" t="b">
        <f t="shared" si="88"/>
        <v>1</v>
      </c>
      <c r="AM82" s="2" t="b">
        <f t="shared" si="89"/>
        <v>0</v>
      </c>
      <c r="AN82" s="2" t="b">
        <f t="shared" si="90"/>
        <v>0</v>
      </c>
      <c r="AO82" s="2" t="str">
        <f t="shared" si="91"/>
        <v/>
      </c>
      <c r="AP82" s="2">
        <f t="shared" si="92"/>
        <v>81</v>
      </c>
      <c r="AQ82" s="2" t="str">
        <f t="shared" si="93"/>
        <v/>
      </c>
      <c r="AR82" s="2">
        <f t="shared" si="94"/>
        <v>29</v>
      </c>
      <c r="AS82" s="2" t="str">
        <f t="shared" si="95"/>
        <v/>
      </c>
      <c r="AT82" s="2">
        <f t="shared" si="96"/>
        <v>81</v>
      </c>
      <c r="AU82" s="2" t="str">
        <f t="shared" si="97"/>
        <v/>
      </c>
      <c r="AV82" s="2" t="str">
        <f t="shared" si="98"/>
        <v/>
      </c>
      <c r="AW82" s="2" t="str">
        <f t="shared" si="99"/>
        <v/>
      </c>
      <c r="AX82" s="2">
        <f t="shared" si="100"/>
        <v>29</v>
      </c>
      <c r="AY82" s="2" t="str">
        <f t="shared" si="101"/>
        <v/>
      </c>
      <c r="AZ82" s="2" t="str">
        <f t="shared" si="102"/>
        <v/>
      </c>
    </row>
    <row r="83" spans="2:52" hidden="1" outlineLevel="2" x14ac:dyDescent="0.25">
      <c r="B83" s="2">
        <v>82</v>
      </c>
      <c r="C83" s="2">
        <v>19</v>
      </c>
      <c r="E83" s="2" t="b">
        <f>ISPRIME(B83)</f>
        <v>0</v>
      </c>
      <c r="F83" s="2" t="b">
        <f>ISPRIME(C83)</f>
        <v>1</v>
      </c>
      <c r="G83" s="2" t="str">
        <f t="shared" si="103"/>
        <v/>
      </c>
      <c r="H83" s="2">
        <f t="shared" si="104"/>
        <v>19</v>
      </c>
      <c r="K83" s="2" t="b">
        <f t="shared" si="105"/>
        <v>0</v>
      </c>
      <c r="L83" s="2" t="b">
        <f t="shared" si="106"/>
        <v>0</v>
      </c>
      <c r="M83" s="2" t="b">
        <f t="shared" si="107"/>
        <v>1</v>
      </c>
      <c r="N83" s="2" t="b">
        <f t="shared" si="108"/>
        <v>0</v>
      </c>
      <c r="Q83" s="2" t="b">
        <f t="shared" si="72"/>
        <v>0</v>
      </c>
      <c r="R83" s="2" t="b">
        <f t="shared" si="73"/>
        <v>1</v>
      </c>
      <c r="S83" s="2" t="b">
        <f t="shared" si="74"/>
        <v>1</v>
      </c>
      <c r="T83" s="2" t="b">
        <f t="shared" si="75"/>
        <v>0</v>
      </c>
      <c r="U83" s="2" t="str">
        <f t="shared" si="76"/>
        <v/>
      </c>
      <c r="V83" s="2">
        <f t="shared" si="77"/>
        <v>82</v>
      </c>
      <c r="W83" s="2">
        <f t="shared" si="78"/>
        <v>19</v>
      </c>
      <c r="X83" s="2" t="str">
        <f t="shared" si="79"/>
        <v/>
      </c>
      <c r="Y83" s="2" t="b">
        <f t="shared" si="80"/>
        <v>0</v>
      </c>
      <c r="Z83" s="2" t="b">
        <f t="shared" si="81"/>
        <v>1</v>
      </c>
      <c r="AA83" s="2" t="b">
        <f t="shared" si="82"/>
        <v>0</v>
      </c>
      <c r="AB83" s="2" t="b">
        <f t="shared" si="83"/>
        <v>1</v>
      </c>
      <c r="AC83" s="2" t="b">
        <f t="shared" si="84"/>
        <v>0</v>
      </c>
      <c r="AD83" s="2" t="b">
        <f t="shared" si="85"/>
        <v>0</v>
      </c>
      <c r="AF83" s="2">
        <f t="shared" si="86"/>
        <v>101</v>
      </c>
      <c r="AG83" s="2" t="b">
        <f t="shared" si="109"/>
        <v>1</v>
      </c>
      <c r="AH83" s="2" t="b">
        <f t="shared" si="110"/>
        <v>0</v>
      </c>
      <c r="AI83" s="2">
        <f t="shared" si="111"/>
        <v>101</v>
      </c>
      <c r="AJ83" s="2" t="str">
        <f t="shared" si="112"/>
        <v/>
      </c>
      <c r="AK83" s="2" t="b">
        <f t="shared" si="87"/>
        <v>0</v>
      </c>
      <c r="AL83" s="2" t="b">
        <f t="shared" si="88"/>
        <v>0</v>
      </c>
      <c r="AM83" s="2" t="b">
        <f t="shared" si="89"/>
        <v>1</v>
      </c>
      <c r="AN83" s="2" t="b">
        <f t="shared" si="90"/>
        <v>0</v>
      </c>
      <c r="AO83" s="2">
        <f t="shared" si="91"/>
        <v>82</v>
      </c>
      <c r="AP83" s="2" t="str">
        <f t="shared" si="92"/>
        <v/>
      </c>
      <c r="AQ83" s="2">
        <f t="shared" si="93"/>
        <v>19</v>
      </c>
      <c r="AR83" s="2" t="str">
        <f t="shared" si="94"/>
        <v/>
      </c>
      <c r="AS83" s="2" t="str">
        <f t="shared" si="95"/>
        <v/>
      </c>
      <c r="AT83" s="2" t="str">
        <f t="shared" si="96"/>
        <v/>
      </c>
      <c r="AU83" s="2">
        <f t="shared" si="97"/>
        <v>82</v>
      </c>
      <c r="AV83" s="2" t="str">
        <f t="shared" si="98"/>
        <v/>
      </c>
      <c r="AW83" s="2">
        <f t="shared" si="99"/>
        <v>19</v>
      </c>
      <c r="AX83" s="2" t="str">
        <f t="shared" si="100"/>
        <v/>
      </c>
      <c r="AY83" s="2" t="str">
        <f t="shared" si="101"/>
        <v/>
      </c>
      <c r="AZ83" s="2" t="str">
        <f t="shared" si="102"/>
        <v/>
      </c>
    </row>
    <row r="84" spans="2:52" hidden="1" outlineLevel="2" x14ac:dyDescent="0.25">
      <c r="B84" s="2">
        <v>83</v>
      </c>
      <c r="C84" s="2">
        <v>36</v>
      </c>
      <c r="E84" s="2" t="b">
        <f>ISPRIME(B84)</f>
        <v>1</v>
      </c>
      <c r="F84" s="2" t="b">
        <f>ISPRIME(C84)</f>
        <v>0</v>
      </c>
      <c r="G84" s="2">
        <f t="shared" si="103"/>
        <v>83</v>
      </c>
      <c r="H84" s="2" t="str">
        <f t="shared" si="104"/>
        <v/>
      </c>
      <c r="K84" s="2" t="b">
        <f t="shared" si="105"/>
        <v>0</v>
      </c>
      <c r="L84" s="2" t="b">
        <f t="shared" si="106"/>
        <v>1</v>
      </c>
      <c r="M84" s="2" t="b">
        <f t="shared" si="107"/>
        <v>0</v>
      </c>
      <c r="N84" s="2" t="b">
        <f t="shared" si="108"/>
        <v>0</v>
      </c>
      <c r="Q84" s="2" t="b">
        <f t="shared" si="72"/>
        <v>1</v>
      </c>
      <c r="R84" s="2" t="b">
        <f t="shared" si="73"/>
        <v>0</v>
      </c>
      <c r="S84" s="2" t="b">
        <f t="shared" si="74"/>
        <v>0</v>
      </c>
      <c r="T84" s="2" t="b">
        <f t="shared" si="75"/>
        <v>1</v>
      </c>
      <c r="U84" s="2">
        <f t="shared" si="76"/>
        <v>83</v>
      </c>
      <c r="V84" s="2" t="str">
        <f t="shared" si="77"/>
        <v/>
      </c>
      <c r="W84" s="2" t="str">
        <f t="shared" si="78"/>
        <v/>
      </c>
      <c r="X84" s="2">
        <f t="shared" si="79"/>
        <v>36</v>
      </c>
      <c r="Y84" s="2" t="b">
        <f t="shared" si="80"/>
        <v>0</v>
      </c>
      <c r="Z84" s="2" t="b">
        <f t="shared" si="81"/>
        <v>1</v>
      </c>
      <c r="AA84" s="2" t="b">
        <f t="shared" si="82"/>
        <v>0</v>
      </c>
      <c r="AB84" s="2" t="b">
        <f t="shared" si="83"/>
        <v>0</v>
      </c>
      <c r="AC84" s="2" t="b">
        <f t="shared" si="84"/>
        <v>0</v>
      </c>
      <c r="AD84" s="2" t="b">
        <f t="shared" si="85"/>
        <v>1</v>
      </c>
      <c r="AF84" s="2">
        <f t="shared" si="86"/>
        <v>119</v>
      </c>
      <c r="AG84" s="2" t="b">
        <f t="shared" si="109"/>
        <v>1</v>
      </c>
      <c r="AH84" s="2" t="b">
        <f t="shared" si="110"/>
        <v>0</v>
      </c>
      <c r="AI84" s="2">
        <f t="shared" si="111"/>
        <v>119</v>
      </c>
      <c r="AJ84" s="2" t="str">
        <f t="shared" si="112"/>
        <v/>
      </c>
      <c r="AK84" s="2" t="b">
        <f t="shared" si="87"/>
        <v>1</v>
      </c>
      <c r="AL84" s="2" t="b">
        <f t="shared" si="88"/>
        <v>0</v>
      </c>
      <c r="AM84" s="2" t="b">
        <f t="shared" si="89"/>
        <v>0</v>
      </c>
      <c r="AN84" s="2" t="b">
        <f t="shared" si="90"/>
        <v>0</v>
      </c>
      <c r="AO84" s="2">
        <f t="shared" si="91"/>
        <v>83</v>
      </c>
      <c r="AP84" s="2" t="str">
        <f t="shared" si="92"/>
        <v/>
      </c>
      <c r="AQ84" s="2">
        <f t="shared" si="93"/>
        <v>36</v>
      </c>
      <c r="AR84" s="2" t="str">
        <f t="shared" si="94"/>
        <v/>
      </c>
      <c r="AS84" s="2">
        <f t="shared" si="95"/>
        <v>83</v>
      </c>
      <c r="AT84" s="2" t="str">
        <f t="shared" si="96"/>
        <v/>
      </c>
      <c r="AU84" s="2" t="str">
        <f t="shared" si="97"/>
        <v/>
      </c>
      <c r="AV84" s="2" t="str">
        <f t="shared" si="98"/>
        <v/>
      </c>
      <c r="AW84" s="2" t="str">
        <f t="shared" si="99"/>
        <v/>
      </c>
      <c r="AX84" s="2" t="str">
        <f t="shared" si="100"/>
        <v/>
      </c>
      <c r="AY84" s="2">
        <f t="shared" si="101"/>
        <v>36</v>
      </c>
      <c r="AZ84" s="2" t="str">
        <f t="shared" si="102"/>
        <v/>
      </c>
    </row>
    <row r="85" spans="2:52" hidden="1" outlineLevel="2" x14ac:dyDescent="0.25">
      <c r="B85" s="2">
        <v>84</v>
      </c>
      <c r="C85" s="2">
        <v>25</v>
      </c>
      <c r="E85" s="2" t="b">
        <f>ISPRIME(B85)</f>
        <v>0</v>
      </c>
      <c r="F85" s="2" t="b">
        <f>ISPRIME(C85)</f>
        <v>0</v>
      </c>
      <c r="G85" s="2" t="str">
        <f t="shared" si="103"/>
        <v/>
      </c>
      <c r="H85" s="2" t="str">
        <f t="shared" si="104"/>
        <v/>
      </c>
      <c r="K85" s="2" t="b">
        <f t="shared" si="105"/>
        <v>0</v>
      </c>
      <c r="L85" s="2" t="b">
        <f t="shared" si="106"/>
        <v>0</v>
      </c>
      <c r="M85" s="2" t="b">
        <f t="shared" si="107"/>
        <v>0</v>
      </c>
      <c r="N85" s="2" t="b">
        <f t="shared" si="108"/>
        <v>1</v>
      </c>
      <c r="Q85" s="2" t="b">
        <f t="shared" si="72"/>
        <v>0</v>
      </c>
      <c r="R85" s="2" t="b">
        <f t="shared" si="73"/>
        <v>1</v>
      </c>
      <c r="S85" s="2" t="b">
        <f t="shared" si="74"/>
        <v>1</v>
      </c>
      <c r="T85" s="2" t="b">
        <f t="shared" si="75"/>
        <v>0</v>
      </c>
      <c r="U85" s="2" t="str">
        <f t="shared" si="76"/>
        <v/>
      </c>
      <c r="V85" s="2">
        <f t="shared" si="77"/>
        <v>84</v>
      </c>
      <c r="W85" s="2">
        <f t="shared" si="78"/>
        <v>25</v>
      </c>
      <c r="X85" s="2" t="str">
        <f t="shared" si="79"/>
        <v/>
      </c>
      <c r="Y85" s="2" t="b">
        <f t="shared" si="80"/>
        <v>0</v>
      </c>
      <c r="Z85" s="2" t="b">
        <f t="shared" si="81"/>
        <v>1</v>
      </c>
      <c r="AA85" s="2" t="b">
        <f t="shared" si="82"/>
        <v>0</v>
      </c>
      <c r="AB85" s="2" t="b">
        <f t="shared" si="83"/>
        <v>1</v>
      </c>
      <c r="AC85" s="2" t="b">
        <f t="shared" si="84"/>
        <v>0</v>
      </c>
      <c r="AD85" s="2" t="b">
        <f t="shared" si="85"/>
        <v>0</v>
      </c>
      <c r="AF85" s="2">
        <f t="shared" si="86"/>
        <v>109</v>
      </c>
      <c r="AG85" s="2" t="b">
        <f t="shared" si="109"/>
        <v>1</v>
      </c>
      <c r="AH85" s="2" t="b">
        <f t="shared" si="110"/>
        <v>0</v>
      </c>
      <c r="AI85" s="2">
        <f t="shared" si="111"/>
        <v>109</v>
      </c>
      <c r="AJ85" s="2" t="str">
        <f t="shared" si="112"/>
        <v/>
      </c>
      <c r="AK85" s="2" t="b">
        <f t="shared" si="87"/>
        <v>0</v>
      </c>
      <c r="AL85" s="2" t="b">
        <f t="shared" si="88"/>
        <v>0</v>
      </c>
      <c r="AM85" s="2" t="b">
        <f t="shared" si="89"/>
        <v>1</v>
      </c>
      <c r="AN85" s="2" t="b">
        <f t="shared" si="90"/>
        <v>0</v>
      </c>
      <c r="AO85" s="2">
        <f t="shared" si="91"/>
        <v>84</v>
      </c>
      <c r="AP85" s="2" t="str">
        <f t="shared" si="92"/>
        <v/>
      </c>
      <c r="AQ85" s="2">
        <f t="shared" si="93"/>
        <v>25</v>
      </c>
      <c r="AR85" s="2" t="str">
        <f t="shared" si="94"/>
        <v/>
      </c>
      <c r="AS85" s="2" t="str">
        <f t="shared" si="95"/>
        <v/>
      </c>
      <c r="AT85" s="2" t="str">
        <f t="shared" si="96"/>
        <v/>
      </c>
      <c r="AU85" s="2">
        <f t="shared" si="97"/>
        <v>84</v>
      </c>
      <c r="AV85" s="2" t="str">
        <f t="shared" si="98"/>
        <v/>
      </c>
      <c r="AW85" s="2">
        <f t="shared" si="99"/>
        <v>25</v>
      </c>
      <c r="AX85" s="2" t="str">
        <f t="shared" si="100"/>
        <v/>
      </c>
      <c r="AY85" s="2" t="str">
        <f t="shared" si="101"/>
        <v/>
      </c>
      <c r="AZ85" s="2" t="str">
        <f t="shared" si="102"/>
        <v/>
      </c>
    </row>
    <row r="86" spans="2:52" hidden="1" outlineLevel="2" x14ac:dyDescent="0.25">
      <c r="B86" s="2">
        <v>85</v>
      </c>
      <c r="C86" s="2">
        <v>22</v>
      </c>
      <c r="E86" s="2" t="b">
        <f>ISPRIME(B86)</f>
        <v>0</v>
      </c>
      <c r="F86" s="2" t="b">
        <f>ISPRIME(C86)</f>
        <v>0</v>
      </c>
      <c r="G86" s="2" t="str">
        <f t="shared" si="103"/>
        <v/>
      </c>
      <c r="H86" s="2" t="str">
        <f t="shared" si="104"/>
        <v/>
      </c>
      <c r="K86" s="2" t="b">
        <f t="shared" si="105"/>
        <v>0</v>
      </c>
      <c r="L86" s="2" t="b">
        <f t="shared" si="106"/>
        <v>0</v>
      </c>
      <c r="M86" s="2" t="b">
        <f t="shared" si="107"/>
        <v>0</v>
      </c>
      <c r="N86" s="2" t="b">
        <f t="shared" si="108"/>
        <v>1</v>
      </c>
      <c r="Q86" s="2" t="b">
        <f t="shared" si="72"/>
        <v>1</v>
      </c>
      <c r="R86" s="2" t="b">
        <f t="shared" si="73"/>
        <v>0</v>
      </c>
      <c r="S86" s="2" t="b">
        <f t="shared" si="74"/>
        <v>0</v>
      </c>
      <c r="T86" s="2" t="b">
        <f t="shared" si="75"/>
        <v>1</v>
      </c>
      <c r="U86" s="2">
        <f t="shared" si="76"/>
        <v>85</v>
      </c>
      <c r="V86" s="2" t="str">
        <f t="shared" si="77"/>
        <v/>
      </c>
      <c r="W86" s="2" t="str">
        <f t="shared" si="78"/>
        <v/>
      </c>
      <c r="X86" s="2">
        <f t="shared" si="79"/>
        <v>22</v>
      </c>
      <c r="Y86" s="2" t="b">
        <f t="shared" si="80"/>
        <v>0</v>
      </c>
      <c r="Z86" s="2" t="b">
        <f t="shared" si="81"/>
        <v>1</v>
      </c>
      <c r="AA86" s="2" t="b">
        <f t="shared" si="82"/>
        <v>0</v>
      </c>
      <c r="AB86" s="2" t="b">
        <f t="shared" si="83"/>
        <v>0</v>
      </c>
      <c r="AC86" s="2" t="b">
        <f t="shared" si="84"/>
        <v>0</v>
      </c>
      <c r="AD86" s="2" t="b">
        <f t="shared" si="85"/>
        <v>1</v>
      </c>
      <c r="AF86" s="2">
        <f t="shared" si="86"/>
        <v>107</v>
      </c>
      <c r="AG86" s="2" t="b">
        <f t="shared" si="109"/>
        <v>1</v>
      </c>
      <c r="AH86" s="2" t="b">
        <f t="shared" si="110"/>
        <v>0</v>
      </c>
      <c r="AI86" s="2">
        <f t="shared" si="111"/>
        <v>107</v>
      </c>
      <c r="AJ86" s="2" t="str">
        <f t="shared" si="112"/>
        <v/>
      </c>
      <c r="AK86" s="2" t="b">
        <f t="shared" si="87"/>
        <v>1</v>
      </c>
      <c r="AL86" s="2" t="b">
        <f t="shared" si="88"/>
        <v>0</v>
      </c>
      <c r="AM86" s="2" t="b">
        <f t="shared" si="89"/>
        <v>0</v>
      </c>
      <c r="AN86" s="2" t="b">
        <f t="shared" si="90"/>
        <v>0</v>
      </c>
      <c r="AO86" s="2">
        <f t="shared" si="91"/>
        <v>85</v>
      </c>
      <c r="AP86" s="2" t="str">
        <f t="shared" si="92"/>
        <v/>
      </c>
      <c r="AQ86" s="2">
        <f t="shared" si="93"/>
        <v>22</v>
      </c>
      <c r="AR86" s="2" t="str">
        <f t="shared" si="94"/>
        <v/>
      </c>
      <c r="AS86" s="2">
        <f t="shared" si="95"/>
        <v>85</v>
      </c>
      <c r="AT86" s="2" t="str">
        <f t="shared" si="96"/>
        <v/>
      </c>
      <c r="AU86" s="2" t="str">
        <f t="shared" si="97"/>
        <v/>
      </c>
      <c r="AV86" s="2" t="str">
        <f t="shared" si="98"/>
        <v/>
      </c>
      <c r="AW86" s="2" t="str">
        <f t="shared" si="99"/>
        <v/>
      </c>
      <c r="AX86" s="2" t="str">
        <f t="shared" si="100"/>
        <v/>
      </c>
      <c r="AY86" s="2">
        <f t="shared" si="101"/>
        <v>22</v>
      </c>
      <c r="AZ86" s="2" t="str">
        <f t="shared" si="102"/>
        <v/>
      </c>
    </row>
    <row r="87" spans="2:52" hidden="1" outlineLevel="2" x14ac:dyDescent="0.25">
      <c r="B87" s="2">
        <v>86</v>
      </c>
      <c r="C87" s="2">
        <v>17</v>
      </c>
      <c r="E87" s="2" t="b">
        <f>ISPRIME(B87)</f>
        <v>0</v>
      </c>
      <c r="F87" s="2" t="b">
        <f>ISPRIME(C87)</f>
        <v>1</v>
      </c>
      <c r="G87" s="2" t="str">
        <f t="shared" si="103"/>
        <v/>
      </c>
      <c r="H87" s="2">
        <f t="shared" si="104"/>
        <v>17</v>
      </c>
      <c r="K87" s="2" t="b">
        <f t="shared" si="105"/>
        <v>0</v>
      </c>
      <c r="L87" s="2" t="b">
        <f t="shared" si="106"/>
        <v>0</v>
      </c>
      <c r="M87" s="2" t="b">
        <f t="shared" si="107"/>
        <v>1</v>
      </c>
      <c r="N87" s="2" t="b">
        <f t="shared" si="108"/>
        <v>0</v>
      </c>
      <c r="Q87" s="2" t="b">
        <f t="shared" si="72"/>
        <v>0</v>
      </c>
      <c r="R87" s="2" t="b">
        <f t="shared" si="73"/>
        <v>1</v>
      </c>
      <c r="S87" s="2" t="b">
        <f t="shared" si="74"/>
        <v>1</v>
      </c>
      <c r="T87" s="2" t="b">
        <f t="shared" si="75"/>
        <v>0</v>
      </c>
      <c r="U87" s="2" t="str">
        <f t="shared" si="76"/>
        <v/>
      </c>
      <c r="V87" s="2">
        <f t="shared" si="77"/>
        <v>86</v>
      </c>
      <c r="W87" s="2">
        <f t="shared" si="78"/>
        <v>17</v>
      </c>
      <c r="X87" s="2" t="str">
        <f t="shared" si="79"/>
        <v/>
      </c>
      <c r="Y87" s="2" t="b">
        <f t="shared" si="80"/>
        <v>0</v>
      </c>
      <c r="Z87" s="2" t="b">
        <f t="shared" si="81"/>
        <v>1</v>
      </c>
      <c r="AA87" s="2" t="b">
        <f t="shared" si="82"/>
        <v>0</v>
      </c>
      <c r="AB87" s="2" t="b">
        <f t="shared" si="83"/>
        <v>1</v>
      </c>
      <c r="AC87" s="2" t="b">
        <f t="shared" si="84"/>
        <v>0</v>
      </c>
      <c r="AD87" s="2" t="b">
        <f t="shared" si="85"/>
        <v>0</v>
      </c>
      <c r="AF87" s="2">
        <f t="shared" si="86"/>
        <v>103</v>
      </c>
      <c r="AG87" s="2" t="b">
        <f t="shared" si="109"/>
        <v>1</v>
      </c>
      <c r="AH87" s="2" t="b">
        <f t="shared" si="110"/>
        <v>0</v>
      </c>
      <c r="AI87" s="2">
        <f t="shared" si="111"/>
        <v>103</v>
      </c>
      <c r="AJ87" s="2" t="str">
        <f t="shared" si="112"/>
        <v/>
      </c>
      <c r="AK87" s="2" t="b">
        <f t="shared" si="87"/>
        <v>0</v>
      </c>
      <c r="AL87" s="2" t="b">
        <f t="shared" si="88"/>
        <v>0</v>
      </c>
      <c r="AM87" s="2" t="b">
        <f t="shared" si="89"/>
        <v>1</v>
      </c>
      <c r="AN87" s="2" t="b">
        <f t="shared" si="90"/>
        <v>0</v>
      </c>
      <c r="AO87" s="2">
        <f t="shared" si="91"/>
        <v>86</v>
      </c>
      <c r="AP87" s="2" t="str">
        <f t="shared" si="92"/>
        <v/>
      </c>
      <c r="AQ87" s="2">
        <f t="shared" si="93"/>
        <v>17</v>
      </c>
      <c r="AR87" s="2" t="str">
        <f t="shared" si="94"/>
        <v/>
      </c>
      <c r="AS87" s="2" t="str">
        <f t="shared" si="95"/>
        <v/>
      </c>
      <c r="AT87" s="2" t="str">
        <f t="shared" si="96"/>
        <v/>
      </c>
      <c r="AU87" s="2">
        <f t="shared" si="97"/>
        <v>86</v>
      </c>
      <c r="AV87" s="2" t="str">
        <f t="shared" si="98"/>
        <v/>
      </c>
      <c r="AW87" s="2">
        <f t="shared" si="99"/>
        <v>17</v>
      </c>
      <c r="AX87" s="2" t="str">
        <f t="shared" si="100"/>
        <v/>
      </c>
      <c r="AY87" s="2" t="str">
        <f t="shared" si="101"/>
        <v/>
      </c>
      <c r="AZ87" s="2" t="str">
        <f t="shared" si="102"/>
        <v/>
      </c>
    </row>
    <row r="88" spans="2:52" hidden="1" outlineLevel="2" x14ac:dyDescent="0.25">
      <c r="B88" s="2">
        <v>87</v>
      </c>
      <c r="C88" s="2">
        <v>19</v>
      </c>
      <c r="E88" s="2" t="b">
        <f>ISPRIME(B88)</f>
        <v>0</v>
      </c>
      <c r="F88" s="2" t="b">
        <f>ISPRIME(C88)</f>
        <v>1</v>
      </c>
      <c r="G88" s="2" t="str">
        <f t="shared" si="103"/>
        <v/>
      </c>
      <c r="H88" s="2">
        <f t="shared" si="104"/>
        <v>19</v>
      </c>
      <c r="K88" s="2" t="b">
        <f t="shared" si="105"/>
        <v>0</v>
      </c>
      <c r="L88" s="2" t="b">
        <f t="shared" si="106"/>
        <v>0</v>
      </c>
      <c r="M88" s="2" t="b">
        <f t="shared" si="107"/>
        <v>1</v>
      </c>
      <c r="N88" s="2" t="b">
        <f t="shared" si="108"/>
        <v>0</v>
      </c>
      <c r="Q88" s="2" t="b">
        <f t="shared" si="72"/>
        <v>1</v>
      </c>
      <c r="R88" s="2" t="b">
        <f t="shared" si="73"/>
        <v>0</v>
      </c>
      <c r="S88" s="2" t="b">
        <f t="shared" si="74"/>
        <v>1</v>
      </c>
      <c r="T88" s="2" t="b">
        <f t="shared" si="75"/>
        <v>0</v>
      </c>
      <c r="U88" s="2">
        <f t="shared" si="76"/>
        <v>87</v>
      </c>
      <c r="V88" s="2" t="str">
        <f t="shared" si="77"/>
        <v/>
      </c>
      <c r="W88" s="2">
        <f t="shared" si="78"/>
        <v>19</v>
      </c>
      <c r="X88" s="2" t="str">
        <f t="shared" si="79"/>
        <v/>
      </c>
      <c r="Y88" s="2" t="b">
        <f t="shared" si="80"/>
        <v>1</v>
      </c>
      <c r="Z88" s="2" t="b">
        <f t="shared" si="81"/>
        <v>0</v>
      </c>
      <c r="AA88" s="2" t="b">
        <f t="shared" si="82"/>
        <v>1</v>
      </c>
      <c r="AB88" s="2" t="b">
        <f t="shared" si="83"/>
        <v>0</v>
      </c>
      <c r="AC88" s="2" t="b">
        <f t="shared" si="84"/>
        <v>0</v>
      </c>
      <c r="AD88" s="2" t="b">
        <f t="shared" si="85"/>
        <v>0</v>
      </c>
      <c r="AF88" s="2">
        <f t="shared" si="86"/>
        <v>106</v>
      </c>
      <c r="AG88" s="2" t="b">
        <f t="shared" si="109"/>
        <v>0</v>
      </c>
      <c r="AH88" s="2" t="b">
        <f t="shared" si="110"/>
        <v>1</v>
      </c>
      <c r="AI88" s="2" t="str">
        <f t="shared" si="111"/>
        <v/>
      </c>
      <c r="AJ88" s="2">
        <f t="shared" si="112"/>
        <v>106</v>
      </c>
      <c r="AK88" s="2" t="b">
        <f t="shared" si="87"/>
        <v>0</v>
      </c>
      <c r="AL88" s="2" t="b">
        <f t="shared" si="88"/>
        <v>1</v>
      </c>
      <c r="AM88" s="2" t="b">
        <f t="shared" si="89"/>
        <v>0</v>
      </c>
      <c r="AN88" s="2" t="b">
        <f t="shared" si="90"/>
        <v>0</v>
      </c>
      <c r="AO88" s="2" t="str">
        <f t="shared" si="91"/>
        <v/>
      </c>
      <c r="AP88" s="2">
        <f t="shared" si="92"/>
        <v>87</v>
      </c>
      <c r="AQ88" s="2" t="str">
        <f t="shared" si="93"/>
        <v/>
      </c>
      <c r="AR88" s="2">
        <f t="shared" si="94"/>
        <v>19</v>
      </c>
      <c r="AS88" s="2" t="str">
        <f t="shared" si="95"/>
        <v/>
      </c>
      <c r="AT88" s="2">
        <f t="shared" si="96"/>
        <v>87</v>
      </c>
      <c r="AU88" s="2" t="str">
        <f t="shared" si="97"/>
        <v/>
      </c>
      <c r="AV88" s="2" t="str">
        <f t="shared" si="98"/>
        <v/>
      </c>
      <c r="AW88" s="2" t="str">
        <f t="shared" si="99"/>
        <v/>
      </c>
      <c r="AX88" s="2">
        <f t="shared" si="100"/>
        <v>19</v>
      </c>
      <c r="AY88" s="2" t="str">
        <f t="shared" si="101"/>
        <v/>
      </c>
      <c r="AZ88" s="2" t="str">
        <f t="shared" si="102"/>
        <v/>
      </c>
    </row>
    <row r="89" spans="2:52" hidden="1" outlineLevel="2" x14ac:dyDescent="0.25">
      <c r="B89" s="2">
        <v>88</v>
      </c>
      <c r="C89" s="2">
        <v>26</v>
      </c>
      <c r="E89" s="2" t="b">
        <f>ISPRIME(B89)</f>
        <v>0</v>
      </c>
      <c r="F89" s="2" t="b">
        <f>ISPRIME(C89)</f>
        <v>0</v>
      </c>
      <c r="G89" s="2" t="str">
        <f t="shared" si="103"/>
        <v/>
      </c>
      <c r="H89" s="2" t="str">
        <f t="shared" si="104"/>
        <v/>
      </c>
      <c r="K89" s="2" t="b">
        <f t="shared" si="105"/>
        <v>0</v>
      </c>
      <c r="L89" s="2" t="b">
        <f t="shared" si="106"/>
        <v>0</v>
      </c>
      <c r="M89" s="2" t="b">
        <f t="shared" si="107"/>
        <v>0</v>
      </c>
      <c r="N89" s="2" t="b">
        <f t="shared" si="108"/>
        <v>1</v>
      </c>
      <c r="Q89" s="2" t="b">
        <f t="shared" si="72"/>
        <v>0</v>
      </c>
      <c r="R89" s="2" t="b">
        <f t="shared" si="73"/>
        <v>1</v>
      </c>
      <c r="S89" s="2" t="b">
        <f t="shared" si="74"/>
        <v>0</v>
      </c>
      <c r="T89" s="2" t="b">
        <f t="shared" si="75"/>
        <v>1</v>
      </c>
      <c r="U89" s="2" t="str">
        <f t="shared" si="76"/>
        <v/>
      </c>
      <c r="V89" s="2">
        <f t="shared" si="77"/>
        <v>88</v>
      </c>
      <c r="W89" s="2" t="str">
        <f t="shared" si="78"/>
        <v/>
      </c>
      <c r="X89" s="2">
        <f t="shared" si="79"/>
        <v>26</v>
      </c>
      <c r="Y89" s="2" t="b">
        <f t="shared" si="80"/>
        <v>1</v>
      </c>
      <c r="Z89" s="2" t="b">
        <f t="shared" si="81"/>
        <v>0</v>
      </c>
      <c r="AA89" s="2" t="b">
        <f t="shared" si="82"/>
        <v>0</v>
      </c>
      <c r="AB89" s="2" t="b">
        <f t="shared" si="83"/>
        <v>0</v>
      </c>
      <c r="AC89" s="2" t="b">
        <f t="shared" si="84"/>
        <v>1</v>
      </c>
      <c r="AD89" s="2" t="b">
        <f t="shared" si="85"/>
        <v>0</v>
      </c>
      <c r="AF89" s="2">
        <f t="shared" si="86"/>
        <v>114</v>
      </c>
      <c r="AG89" s="2" t="b">
        <f t="shared" si="109"/>
        <v>0</v>
      </c>
      <c r="AH89" s="2" t="b">
        <f t="shared" si="110"/>
        <v>1</v>
      </c>
      <c r="AI89" s="2" t="str">
        <f t="shared" si="111"/>
        <v/>
      </c>
      <c r="AJ89" s="2">
        <f t="shared" si="112"/>
        <v>114</v>
      </c>
      <c r="AK89" s="2" t="b">
        <f t="shared" si="87"/>
        <v>0</v>
      </c>
      <c r="AL89" s="2" t="b">
        <f t="shared" si="88"/>
        <v>0</v>
      </c>
      <c r="AM89" s="2" t="b">
        <f t="shared" si="89"/>
        <v>0</v>
      </c>
      <c r="AN89" s="2" t="b">
        <f t="shared" si="90"/>
        <v>1</v>
      </c>
      <c r="AO89" s="2" t="str">
        <f t="shared" si="91"/>
        <v/>
      </c>
      <c r="AP89" s="2">
        <f t="shared" si="92"/>
        <v>88</v>
      </c>
      <c r="AQ89" s="2" t="str">
        <f t="shared" si="93"/>
        <v/>
      </c>
      <c r="AR89" s="2">
        <f t="shared" si="94"/>
        <v>26</v>
      </c>
      <c r="AS89" s="2" t="str">
        <f t="shared" si="95"/>
        <v/>
      </c>
      <c r="AT89" s="2" t="str">
        <f t="shared" si="96"/>
        <v/>
      </c>
      <c r="AU89" s="2" t="str">
        <f t="shared" si="97"/>
        <v/>
      </c>
      <c r="AV89" s="2">
        <f t="shared" si="98"/>
        <v>88</v>
      </c>
      <c r="AW89" s="2" t="str">
        <f t="shared" si="99"/>
        <v/>
      </c>
      <c r="AX89" s="2" t="str">
        <f t="shared" si="100"/>
        <v/>
      </c>
      <c r="AY89" s="2" t="str">
        <f t="shared" si="101"/>
        <v/>
      </c>
      <c r="AZ89" s="2">
        <f t="shared" si="102"/>
        <v>26</v>
      </c>
    </row>
    <row r="90" spans="2:52" hidden="1" outlineLevel="2" x14ac:dyDescent="0.25">
      <c r="B90" s="2">
        <v>89</v>
      </c>
      <c r="C90" s="2">
        <v>30</v>
      </c>
      <c r="E90" s="2" t="b">
        <f>ISPRIME(B90)</f>
        <v>1</v>
      </c>
      <c r="F90" s="2" t="b">
        <f>ISPRIME(C90)</f>
        <v>0</v>
      </c>
      <c r="G90" s="2">
        <f t="shared" si="103"/>
        <v>89</v>
      </c>
      <c r="H90" s="2" t="str">
        <f t="shared" si="104"/>
        <v/>
      </c>
      <c r="K90" s="2" t="b">
        <f t="shared" si="105"/>
        <v>0</v>
      </c>
      <c r="L90" s="2" t="b">
        <f t="shared" si="106"/>
        <v>1</v>
      </c>
      <c r="M90" s="2" t="b">
        <f t="shared" si="107"/>
        <v>0</v>
      </c>
      <c r="N90" s="2" t="b">
        <f t="shared" si="108"/>
        <v>0</v>
      </c>
      <c r="Q90" s="2" t="b">
        <f t="shared" si="72"/>
        <v>1</v>
      </c>
      <c r="R90" s="2" t="b">
        <f t="shared" si="73"/>
        <v>0</v>
      </c>
      <c r="S90" s="2" t="b">
        <f t="shared" si="74"/>
        <v>0</v>
      </c>
      <c r="T90" s="2" t="b">
        <f t="shared" si="75"/>
        <v>1</v>
      </c>
      <c r="U90" s="2">
        <f t="shared" si="76"/>
        <v>89</v>
      </c>
      <c r="V90" s="2" t="str">
        <f t="shared" si="77"/>
        <v/>
      </c>
      <c r="W90" s="2" t="str">
        <f t="shared" si="78"/>
        <v/>
      </c>
      <c r="X90" s="2">
        <f t="shared" si="79"/>
        <v>30</v>
      </c>
      <c r="Y90" s="2" t="b">
        <f t="shared" si="80"/>
        <v>0</v>
      </c>
      <c r="Z90" s="2" t="b">
        <f t="shared" si="81"/>
        <v>1</v>
      </c>
      <c r="AA90" s="2" t="b">
        <f t="shared" si="82"/>
        <v>0</v>
      </c>
      <c r="AB90" s="2" t="b">
        <f t="shared" si="83"/>
        <v>0</v>
      </c>
      <c r="AC90" s="2" t="b">
        <f t="shared" si="84"/>
        <v>0</v>
      </c>
      <c r="AD90" s="2" t="b">
        <f t="shared" si="85"/>
        <v>1</v>
      </c>
      <c r="AF90" s="2">
        <f t="shared" si="86"/>
        <v>119</v>
      </c>
      <c r="AG90" s="2" t="b">
        <f t="shared" si="109"/>
        <v>1</v>
      </c>
      <c r="AH90" s="2" t="b">
        <f t="shared" si="110"/>
        <v>0</v>
      </c>
      <c r="AI90" s="2">
        <f t="shared" si="111"/>
        <v>119</v>
      </c>
      <c r="AJ90" s="2" t="str">
        <f t="shared" si="112"/>
        <v/>
      </c>
      <c r="AK90" s="2" t="b">
        <f t="shared" si="87"/>
        <v>1</v>
      </c>
      <c r="AL90" s="2" t="b">
        <f t="shared" si="88"/>
        <v>0</v>
      </c>
      <c r="AM90" s="2" t="b">
        <f t="shared" si="89"/>
        <v>0</v>
      </c>
      <c r="AN90" s="2" t="b">
        <f t="shared" si="90"/>
        <v>0</v>
      </c>
      <c r="AO90" s="2">
        <f t="shared" si="91"/>
        <v>89</v>
      </c>
      <c r="AP90" s="2" t="str">
        <f t="shared" si="92"/>
        <v/>
      </c>
      <c r="AQ90" s="2">
        <f t="shared" si="93"/>
        <v>30</v>
      </c>
      <c r="AR90" s="2" t="str">
        <f t="shared" si="94"/>
        <v/>
      </c>
      <c r="AS90" s="2">
        <f t="shared" si="95"/>
        <v>89</v>
      </c>
      <c r="AT90" s="2" t="str">
        <f t="shared" si="96"/>
        <v/>
      </c>
      <c r="AU90" s="2" t="str">
        <f t="shared" si="97"/>
        <v/>
      </c>
      <c r="AV90" s="2" t="str">
        <f t="shared" si="98"/>
        <v/>
      </c>
      <c r="AW90" s="2" t="str">
        <f t="shared" si="99"/>
        <v/>
      </c>
      <c r="AX90" s="2" t="str">
        <f t="shared" si="100"/>
        <v/>
      </c>
      <c r="AY90" s="2">
        <f t="shared" si="101"/>
        <v>30</v>
      </c>
      <c r="AZ90" s="2" t="str">
        <f t="shared" si="102"/>
        <v/>
      </c>
    </row>
    <row r="91" spans="2:52" hidden="1" outlineLevel="2" x14ac:dyDescent="0.25">
      <c r="B91" s="2">
        <v>90</v>
      </c>
      <c r="C91" s="2">
        <v>20</v>
      </c>
      <c r="E91" s="2" t="b">
        <f>ISPRIME(B91)</f>
        <v>0</v>
      </c>
      <c r="F91" s="2" t="b">
        <f>ISPRIME(C91)</f>
        <v>0</v>
      </c>
      <c r="G91" s="2" t="str">
        <f t="shared" si="103"/>
        <v/>
      </c>
      <c r="H91" s="2" t="str">
        <f t="shared" si="104"/>
        <v/>
      </c>
      <c r="K91" s="2" t="b">
        <f t="shared" si="105"/>
        <v>0</v>
      </c>
      <c r="L91" s="2" t="b">
        <f t="shared" si="106"/>
        <v>0</v>
      </c>
      <c r="M91" s="2" t="b">
        <f t="shared" si="107"/>
        <v>0</v>
      </c>
      <c r="N91" s="2" t="b">
        <f t="shared" si="108"/>
        <v>1</v>
      </c>
      <c r="Q91" s="2" t="b">
        <f t="shared" si="72"/>
        <v>0</v>
      </c>
      <c r="R91" s="2" t="b">
        <f t="shared" si="73"/>
        <v>1</v>
      </c>
      <c r="S91" s="2" t="b">
        <f t="shared" si="74"/>
        <v>0</v>
      </c>
      <c r="T91" s="2" t="b">
        <f t="shared" si="75"/>
        <v>1</v>
      </c>
      <c r="U91" s="2" t="str">
        <f t="shared" si="76"/>
        <v/>
      </c>
      <c r="V91" s="2">
        <f t="shared" si="77"/>
        <v>90</v>
      </c>
      <c r="W91" s="2" t="str">
        <f t="shared" si="78"/>
        <v/>
      </c>
      <c r="X91" s="2">
        <f t="shared" si="79"/>
        <v>20</v>
      </c>
      <c r="Y91" s="2" t="b">
        <f t="shared" si="80"/>
        <v>1</v>
      </c>
      <c r="Z91" s="2" t="b">
        <f t="shared" si="81"/>
        <v>0</v>
      </c>
      <c r="AA91" s="2" t="b">
        <f t="shared" si="82"/>
        <v>0</v>
      </c>
      <c r="AB91" s="2" t="b">
        <f t="shared" si="83"/>
        <v>0</v>
      </c>
      <c r="AC91" s="2" t="b">
        <f t="shared" si="84"/>
        <v>1</v>
      </c>
      <c r="AD91" s="2" t="b">
        <f t="shared" si="85"/>
        <v>0</v>
      </c>
      <c r="AF91" s="2">
        <f t="shared" si="86"/>
        <v>110</v>
      </c>
      <c r="AG91" s="2" t="b">
        <f t="shared" si="109"/>
        <v>0</v>
      </c>
      <c r="AH91" s="2" t="b">
        <f t="shared" si="110"/>
        <v>1</v>
      </c>
      <c r="AI91" s="2" t="str">
        <f t="shared" si="111"/>
        <v/>
      </c>
      <c r="AJ91" s="2">
        <f t="shared" si="112"/>
        <v>110</v>
      </c>
      <c r="AK91" s="2" t="b">
        <f t="shared" si="87"/>
        <v>0</v>
      </c>
      <c r="AL91" s="2" t="b">
        <f t="shared" si="88"/>
        <v>0</v>
      </c>
      <c r="AM91" s="2" t="b">
        <f t="shared" si="89"/>
        <v>0</v>
      </c>
      <c r="AN91" s="2" t="b">
        <f t="shared" si="90"/>
        <v>1</v>
      </c>
      <c r="AO91" s="2" t="str">
        <f t="shared" si="91"/>
        <v/>
      </c>
      <c r="AP91" s="2">
        <f t="shared" si="92"/>
        <v>90</v>
      </c>
      <c r="AQ91" s="2" t="str">
        <f t="shared" si="93"/>
        <v/>
      </c>
      <c r="AR91" s="2">
        <f t="shared" si="94"/>
        <v>20</v>
      </c>
      <c r="AS91" s="2" t="str">
        <f t="shared" si="95"/>
        <v/>
      </c>
      <c r="AT91" s="2" t="str">
        <f t="shared" si="96"/>
        <v/>
      </c>
      <c r="AU91" s="2" t="str">
        <f t="shared" si="97"/>
        <v/>
      </c>
      <c r="AV91" s="2">
        <f t="shared" si="98"/>
        <v>90</v>
      </c>
      <c r="AW91" s="2" t="str">
        <f t="shared" si="99"/>
        <v/>
      </c>
      <c r="AX91" s="2" t="str">
        <f t="shared" si="100"/>
        <v/>
      </c>
      <c r="AY91" s="2" t="str">
        <f t="shared" si="101"/>
        <v/>
      </c>
      <c r="AZ91" s="2">
        <f t="shared" si="102"/>
        <v>20</v>
      </c>
    </row>
    <row r="92" spans="2:52" hidden="1" outlineLevel="2" x14ac:dyDescent="0.25">
      <c r="B92" s="2">
        <v>91</v>
      </c>
      <c r="C92" s="2">
        <v>15</v>
      </c>
      <c r="E92" s="2" t="b">
        <f>ISPRIME(B92)</f>
        <v>0</v>
      </c>
      <c r="F92" s="2" t="b">
        <f>ISPRIME(C92)</f>
        <v>0</v>
      </c>
      <c r="G92" s="2" t="str">
        <f t="shared" si="103"/>
        <v/>
      </c>
      <c r="H92" s="2" t="str">
        <f t="shared" si="104"/>
        <v/>
      </c>
      <c r="K92" s="2" t="b">
        <f t="shared" si="105"/>
        <v>0</v>
      </c>
      <c r="L92" s="2" t="b">
        <f t="shared" si="106"/>
        <v>0</v>
      </c>
      <c r="M92" s="2" t="b">
        <f t="shared" si="107"/>
        <v>0</v>
      </c>
      <c r="N92" s="2" t="b">
        <f t="shared" si="108"/>
        <v>1</v>
      </c>
      <c r="Q92" s="2" t="b">
        <f t="shared" si="72"/>
        <v>1</v>
      </c>
      <c r="R92" s="2" t="b">
        <f t="shared" si="73"/>
        <v>0</v>
      </c>
      <c r="S92" s="2" t="b">
        <f t="shared" si="74"/>
        <v>1</v>
      </c>
      <c r="T92" s="2" t="b">
        <f t="shared" si="75"/>
        <v>0</v>
      </c>
      <c r="U92" s="2">
        <f t="shared" si="76"/>
        <v>91</v>
      </c>
      <c r="V92" s="2" t="str">
        <f t="shared" si="77"/>
        <v/>
      </c>
      <c r="W92" s="2">
        <f t="shared" si="78"/>
        <v>15</v>
      </c>
      <c r="X92" s="2" t="str">
        <f t="shared" si="79"/>
        <v/>
      </c>
      <c r="Y92" s="2" t="b">
        <f t="shared" si="80"/>
        <v>1</v>
      </c>
      <c r="Z92" s="2" t="b">
        <f t="shared" si="81"/>
        <v>0</v>
      </c>
      <c r="AA92" s="2" t="b">
        <f t="shared" si="82"/>
        <v>1</v>
      </c>
      <c r="AB92" s="2" t="b">
        <f t="shared" si="83"/>
        <v>0</v>
      </c>
      <c r="AC92" s="2" t="b">
        <f t="shared" si="84"/>
        <v>0</v>
      </c>
      <c r="AD92" s="2" t="b">
        <f t="shared" si="85"/>
        <v>0</v>
      </c>
      <c r="AF92" s="2">
        <f t="shared" si="86"/>
        <v>106</v>
      </c>
      <c r="AG92" s="2" t="b">
        <f t="shared" si="109"/>
        <v>0</v>
      </c>
      <c r="AH92" s="2" t="b">
        <f t="shared" si="110"/>
        <v>1</v>
      </c>
      <c r="AI92" s="2" t="str">
        <f t="shared" si="111"/>
        <v/>
      </c>
      <c r="AJ92" s="2">
        <f t="shared" si="112"/>
        <v>106</v>
      </c>
      <c r="AK92" s="2" t="b">
        <f t="shared" si="87"/>
        <v>0</v>
      </c>
      <c r="AL92" s="2" t="b">
        <f t="shared" si="88"/>
        <v>1</v>
      </c>
      <c r="AM92" s="2" t="b">
        <f t="shared" si="89"/>
        <v>0</v>
      </c>
      <c r="AN92" s="2" t="b">
        <f t="shared" si="90"/>
        <v>0</v>
      </c>
      <c r="AO92" s="2" t="str">
        <f t="shared" si="91"/>
        <v/>
      </c>
      <c r="AP92" s="2">
        <f t="shared" si="92"/>
        <v>91</v>
      </c>
      <c r="AQ92" s="2" t="str">
        <f t="shared" si="93"/>
        <v/>
      </c>
      <c r="AR92" s="2">
        <f t="shared" si="94"/>
        <v>15</v>
      </c>
      <c r="AS92" s="2" t="str">
        <f t="shared" si="95"/>
        <v/>
      </c>
      <c r="AT92" s="2">
        <f t="shared" si="96"/>
        <v>91</v>
      </c>
      <c r="AU92" s="2" t="str">
        <f t="shared" si="97"/>
        <v/>
      </c>
      <c r="AV92" s="2" t="str">
        <f t="shared" si="98"/>
        <v/>
      </c>
      <c r="AW92" s="2" t="str">
        <f t="shared" si="99"/>
        <v/>
      </c>
      <c r="AX92" s="2">
        <f t="shared" si="100"/>
        <v>15</v>
      </c>
      <c r="AY92" s="2" t="str">
        <f t="shared" si="101"/>
        <v/>
      </c>
      <c r="AZ92" s="2" t="str">
        <f t="shared" si="102"/>
        <v/>
      </c>
    </row>
    <row r="93" spans="2:52" hidden="1" outlineLevel="2" x14ac:dyDescent="0.25">
      <c r="B93" s="2">
        <v>92</v>
      </c>
      <c r="C93" s="2">
        <v>21</v>
      </c>
      <c r="E93" s="2" t="b">
        <f>ISPRIME(B93)</f>
        <v>0</v>
      </c>
      <c r="F93" s="2" t="b">
        <f>ISPRIME(C93)</f>
        <v>0</v>
      </c>
      <c r="G93" s="2" t="str">
        <f t="shared" si="103"/>
        <v/>
      </c>
      <c r="H93" s="2" t="str">
        <f t="shared" si="104"/>
        <v/>
      </c>
      <c r="K93" s="2" t="b">
        <f t="shared" si="105"/>
        <v>0</v>
      </c>
      <c r="L93" s="2" t="b">
        <f t="shared" si="106"/>
        <v>0</v>
      </c>
      <c r="M93" s="2" t="b">
        <f t="shared" si="107"/>
        <v>0</v>
      </c>
      <c r="N93" s="2" t="b">
        <f t="shared" si="108"/>
        <v>1</v>
      </c>
      <c r="Q93" s="2" t="b">
        <f t="shared" si="72"/>
        <v>0</v>
      </c>
      <c r="R93" s="2" t="b">
        <f t="shared" si="73"/>
        <v>1</v>
      </c>
      <c r="S93" s="2" t="b">
        <f t="shared" si="74"/>
        <v>1</v>
      </c>
      <c r="T93" s="2" t="b">
        <f t="shared" si="75"/>
        <v>0</v>
      </c>
      <c r="U93" s="2" t="str">
        <f t="shared" si="76"/>
        <v/>
      </c>
      <c r="V93" s="2">
        <f t="shared" si="77"/>
        <v>92</v>
      </c>
      <c r="W93" s="2">
        <f t="shared" si="78"/>
        <v>21</v>
      </c>
      <c r="X93" s="2" t="str">
        <f t="shared" si="79"/>
        <v/>
      </c>
      <c r="Y93" s="2" t="b">
        <f t="shared" si="80"/>
        <v>0</v>
      </c>
      <c r="Z93" s="2" t="b">
        <f t="shared" si="81"/>
        <v>1</v>
      </c>
      <c r="AA93" s="2" t="b">
        <f t="shared" si="82"/>
        <v>0</v>
      </c>
      <c r="AB93" s="2" t="b">
        <f t="shared" si="83"/>
        <v>1</v>
      </c>
      <c r="AC93" s="2" t="b">
        <f t="shared" si="84"/>
        <v>0</v>
      </c>
      <c r="AD93" s="2" t="b">
        <f t="shared" si="85"/>
        <v>0</v>
      </c>
      <c r="AF93" s="2">
        <f t="shared" si="86"/>
        <v>113</v>
      </c>
      <c r="AG93" s="2" t="b">
        <f t="shared" si="109"/>
        <v>1</v>
      </c>
      <c r="AH93" s="2" t="b">
        <f t="shared" si="110"/>
        <v>0</v>
      </c>
      <c r="AI93" s="2">
        <f t="shared" si="111"/>
        <v>113</v>
      </c>
      <c r="AJ93" s="2" t="str">
        <f t="shared" si="112"/>
        <v/>
      </c>
      <c r="AK93" s="2" t="b">
        <f t="shared" si="87"/>
        <v>0</v>
      </c>
      <c r="AL93" s="2" t="b">
        <f t="shared" si="88"/>
        <v>0</v>
      </c>
      <c r="AM93" s="2" t="b">
        <f t="shared" si="89"/>
        <v>1</v>
      </c>
      <c r="AN93" s="2" t="b">
        <f t="shared" si="90"/>
        <v>0</v>
      </c>
      <c r="AO93" s="2">
        <f t="shared" si="91"/>
        <v>92</v>
      </c>
      <c r="AP93" s="2" t="str">
        <f t="shared" si="92"/>
        <v/>
      </c>
      <c r="AQ93" s="2">
        <f t="shared" si="93"/>
        <v>21</v>
      </c>
      <c r="AR93" s="2" t="str">
        <f t="shared" si="94"/>
        <v/>
      </c>
      <c r="AS93" s="2" t="str">
        <f t="shared" si="95"/>
        <v/>
      </c>
      <c r="AT93" s="2" t="str">
        <f t="shared" si="96"/>
        <v/>
      </c>
      <c r="AU93" s="2">
        <f t="shared" si="97"/>
        <v>92</v>
      </c>
      <c r="AV93" s="2" t="str">
        <f t="shared" si="98"/>
        <v/>
      </c>
      <c r="AW93" s="2">
        <f t="shared" si="99"/>
        <v>21</v>
      </c>
      <c r="AX93" s="2" t="str">
        <f t="shared" si="100"/>
        <v/>
      </c>
      <c r="AY93" s="2" t="str">
        <f t="shared" si="101"/>
        <v/>
      </c>
      <c r="AZ93" s="2" t="str">
        <f t="shared" si="102"/>
        <v/>
      </c>
    </row>
    <row r="94" spans="2:52" hidden="1" outlineLevel="2" x14ac:dyDescent="0.25">
      <c r="B94" s="2">
        <v>93</v>
      </c>
      <c r="C94" s="2">
        <v>11</v>
      </c>
      <c r="E94" s="2" t="b">
        <f>ISPRIME(B94)</f>
        <v>0</v>
      </c>
      <c r="F94" s="2" t="b">
        <f>ISPRIME(C94)</f>
        <v>1</v>
      </c>
      <c r="G94" s="2" t="str">
        <f t="shared" si="103"/>
        <v/>
      </c>
      <c r="H94" s="2">
        <f t="shared" si="104"/>
        <v>11</v>
      </c>
      <c r="K94" s="2" t="b">
        <f t="shared" si="105"/>
        <v>0</v>
      </c>
      <c r="L94" s="2" t="b">
        <f t="shared" si="106"/>
        <v>0</v>
      </c>
      <c r="M94" s="2" t="b">
        <f t="shared" si="107"/>
        <v>1</v>
      </c>
      <c r="N94" s="2" t="b">
        <f t="shared" si="108"/>
        <v>0</v>
      </c>
      <c r="Q94" s="2" t="b">
        <f t="shared" si="72"/>
        <v>1</v>
      </c>
      <c r="R94" s="2" t="b">
        <f t="shared" si="73"/>
        <v>0</v>
      </c>
      <c r="S94" s="2" t="b">
        <f t="shared" si="74"/>
        <v>1</v>
      </c>
      <c r="T94" s="2" t="b">
        <f t="shared" si="75"/>
        <v>0</v>
      </c>
      <c r="U94" s="2">
        <f t="shared" si="76"/>
        <v>93</v>
      </c>
      <c r="V94" s="2" t="str">
        <f t="shared" si="77"/>
        <v/>
      </c>
      <c r="W94" s="2">
        <f t="shared" si="78"/>
        <v>11</v>
      </c>
      <c r="X94" s="2" t="str">
        <f t="shared" si="79"/>
        <v/>
      </c>
      <c r="Y94" s="2" t="b">
        <f t="shared" si="80"/>
        <v>1</v>
      </c>
      <c r="Z94" s="2" t="b">
        <f t="shared" si="81"/>
        <v>0</v>
      </c>
      <c r="AA94" s="2" t="b">
        <f t="shared" si="82"/>
        <v>1</v>
      </c>
      <c r="AB94" s="2" t="b">
        <f t="shared" si="83"/>
        <v>0</v>
      </c>
      <c r="AC94" s="2" t="b">
        <f t="shared" si="84"/>
        <v>0</v>
      </c>
      <c r="AD94" s="2" t="b">
        <f t="shared" si="85"/>
        <v>0</v>
      </c>
      <c r="AF94" s="2">
        <f t="shared" si="86"/>
        <v>104</v>
      </c>
      <c r="AG94" s="2" t="b">
        <f t="shared" si="109"/>
        <v>0</v>
      </c>
      <c r="AH94" s="2" t="b">
        <f t="shared" si="110"/>
        <v>1</v>
      </c>
      <c r="AI94" s="2" t="str">
        <f t="shared" si="111"/>
        <v/>
      </c>
      <c r="AJ94" s="2">
        <f t="shared" si="112"/>
        <v>104</v>
      </c>
      <c r="AK94" s="2" t="b">
        <f t="shared" si="87"/>
        <v>0</v>
      </c>
      <c r="AL94" s="2" t="b">
        <f t="shared" si="88"/>
        <v>1</v>
      </c>
      <c r="AM94" s="2" t="b">
        <f t="shared" si="89"/>
        <v>0</v>
      </c>
      <c r="AN94" s="2" t="b">
        <f t="shared" si="90"/>
        <v>0</v>
      </c>
      <c r="AO94" s="2" t="str">
        <f t="shared" si="91"/>
        <v/>
      </c>
      <c r="AP94" s="2">
        <f t="shared" si="92"/>
        <v>93</v>
      </c>
      <c r="AQ94" s="2" t="str">
        <f t="shared" si="93"/>
        <v/>
      </c>
      <c r="AR94" s="2">
        <f t="shared" si="94"/>
        <v>11</v>
      </c>
      <c r="AS94" s="2" t="str">
        <f t="shared" si="95"/>
        <v/>
      </c>
      <c r="AT94" s="2">
        <f t="shared" si="96"/>
        <v>93</v>
      </c>
      <c r="AU94" s="2" t="str">
        <f t="shared" si="97"/>
        <v/>
      </c>
      <c r="AV94" s="2" t="str">
        <f t="shared" si="98"/>
        <v/>
      </c>
      <c r="AW94" s="2" t="str">
        <f t="shared" si="99"/>
        <v/>
      </c>
      <c r="AX94" s="2">
        <f t="shared" si="100"/>
        <v>11</v>
      </c>
      <c r="AY94" s="2" t="str">
        <f t="shared" si="101"/>
        <v/>
      </c>
      <c r="AZ94" s="2" t="str">
        <f t="shared" si="102"/>
        <v/>
      </c>
    </row>
    <row r="95" spans="2:52" hidden="1" outlineLevel="2" x14ac:dyDescent="0.25">
      <c r="B95" s="2">
        <v>94</v>
      </c>
      <c r="C95" s="2">
        <v>8</v>
      </c>
      <c r="E95" s="2" t="b">
        <f>ISPRIME(B95)</f>
        <v>0</v>
      </c>
      <c r="F95" s="2" t="b">
        <f>ISPRIME(C95)</f>
        <v>0</v>
      </c>
      <c r="G95" s="2" t="str">
        <f t="shared" si="103"/>
        <v/>
      </c>
      <c r="H95" s="2" t="str">
        <f t="shared" si="104"/>
        <v/>
      </c>
      <c r="K95" s="2" t="b">
        <f t="shared" si="105"/>
        <v>0</v>
      </c>
      <c r="L95" s="2" t="b">
        <f t="shared" si="106"/>
        <v>0</v>
      </c>
      <c r="M95" s="2" t="b">
        <f t="shared" si="107"/>
        <v>0</v>
      </c>
      <c r="N95" s="2" t="b">
        <f t="shared" si="108"/>
        <v>1</v>
      </c>
      <c r="Q95" s="2" t="b">
        <f t="shared" si="72"/>
        <v>0</v>
      </c>
      <c r="R95" s="2" t="b">
        <f t="shared" si="73"/>
        <v>1</v>
      </c>
      <c r="S95" s="2" t="b">
        <f t="shared" si="74"/>
        <v>0</v>
      </c>
      <c r="T95" s="2" t="b">
        <f t="shared" si="75"/>
        <v>1</v>
      </c>
      <c r="U95" s="2" t="str">
        <f t="shared" si="76"/>
        <v/>
      </c>
      <c r="V95" s="2">
        <f t="shared" si="77"/>
        <v>94</v>
      </c>
      <c r="W95" s="2" t="str">
        <f t="shared" si="78"/>
        <v/>
      </c>
      <c r="X95" s="2">
        <f t="shared" si="79"/>
        <v>8</v>
      </c>
      <c r="Y95" s="2" t="b">
        <f t="shared" si="80"/>
        <v>1</v>
      </c>
      <c r="Z95" s="2" t="b">
        <f t="shared" si="81"/>
        <v>0</v>
      </c>
      <c r="AA95" s="2" t="b">
        <f t="shared" si="82"/>
        <v>0</v>
      </c>
      <c r="AB95" s="2" t="b">
        <f t="shared" si="83"/>
        <v>0</v>
      </c>
      <c r="AC95" s="2" t="b">
        <f t="shared" si="84"/>
        <v>1</v>
      </c>
      <c r="AD95" s="2" t="b">
        <f t="shared" si="85"/>
        <v>0</v>
      </c>
      <c r="AF95" s="2">
        <f t="shared" si="86"/>
        <v>102</v>
      </c>
      <c r="AG95" s="2" t="b">
        <f t="shared" si="109"/>
        <v>0</v>
      </c>
      <c r="AH95" s="2" t="b">
        <f t="shared" si="110"/>
        <v>1</v>
      </c>
      <c r="AI95" s="2" t="str">
        <f t="shared" si="111"/>
        <v/>
      </c>
      <c r="AJ95" s="2">
        <f t="shared" si="112"/>
        <v>102</v>
      </c>
      <c r="AK95" s="2" t="b">
        <f t="shared" si="87"/>
        <v>0</v>
      </c>
      <c r="AL95" s="2" t="b">
        <f t="shared" si="88"/>
        <v>0</v>
      </c>
      <c r="AM95" s="2" t="b">
        <f t="shared" si="89"/>
        <v>0</v>
      </c>
      <c r="AN95" s="2" t="b">
        <f t="shared" si="90"/>
        <v>1</v>
      </c>
      <c r="AO95" s="2" t="str">
        <f t="shared" si="91"/>
        <v/>
      </c>
      <c r="AP95" s="2">
        <f t="shared" si="92"/>
        <v>94</v>
      </c>
      <c r="AQ95" s="2" t="str">
        <f t="shared" si="93"/>
        <v/>
      </c>
      <c r="AR95" s="2">
        <f t="shared" si="94"/>
        <v>8</v>
      </c>
      <c r="AS95" s="2" t="str">
        <f t="shared" si="95"/>
        <v/>
      </c>
      <c r="AT95" s="2" t="str">
        <f t="shared" si="96"/>
        <v/>
      </c>
      <c r="AU95" s="2" t="str">
        <f t="shared" si="97"/>
        <v/>
      </c>
      <c r="AV95" s="2">
        <f t="shared" si="98"/>
        <v>94</v>
      </c>
      <c r="AW95" s="2" t="str">
        <f t="shared" si="99"/>
        <v/>
      </c>
      <c r="AX95" s="2" t="str">
        <f t="shared" si="100"/>
        <v/>
      </c>
      <c r="AY95" s="2" t="str">
        <f t="shared" si="101"/>
        <v/>
      </c>
      <c r="AZ95" s="2">
        <f t="shared" si="102"/>
        <v>8</v>
      </c>
    </row>
    <row r="96" spans="2:52" hidden="1" outlineLevel="2" x14ac:dyDescent="0.25">
      <c r="B96" s="2">
        <v>95</v>
      </c>
      <c r="C96" s="2">
        <v>8</v>
      </c>
      <c r="E96" s="2" t="b">
        <f>ISPRIME(B96)</f>
        <v>0</v>
      </c>
      <c r="F96" s="2" t="b">
        <f>ISPRIME(C96)</f>
        <v>0</v>
      </c>
      <c r="G96" s="2" t="str">
        <f t="shared" si="103"/>
        <v/>
      </c>
      <c r="H96" s="2" t="str">
        <f t="shared" si="104"/>
        <v/>
      </c>
      <c r="K96" s="2" t="b">
        <f t="shared" si="105"/>
        <v>0</v>
      </c>
      <c r="L96" s="2" t="b">
        <f t="shared" si="106"/>
        <v>0</v>
      </c>
      <c r="M96" s="2" t="b">
        <f t="shared" si="107"/>
        <v>0</v>
      </c>
      <c r="N96" s="2" t="b">
        <f t="shared" si="108"/>
        <v>1</v>
      </c>
      <c r="Q96" s="2" t="b">
        <f t="shared" si="72"/>
        <v>1</v>
      </c>
      <c r="R96" s="2" t="b">
        <f t="shared" si="73"/>
        <v>0</v>
      </c>
      <c r="S96" s="2" t="b">
        <f t="shared" si="74"/>
        <v>0</v>
      </c>
      <c r="T96" s="2" t="b">
        <f t="shared" si="75"/>
        <v>1</v>
      </c>
      <c r="U96" s="2">
        <f t="shared" si="76"/>
        <v>95</v>
      </c>
      <c r="V96" s="2" t="str">
        <f t="shared" si="77"/>
        <v/>
      </c>
      <c r="W96" s="2" t="str">
        <f t="shared" si="78"/>
        <v/>
      </c>
      <c r="X96" s="2">
        <f t="shared" si="79"/>
        <v>8</v>
      </c>
      <c r="Y96" s="2" t="b">
        <f t="shared" si="80"/>
        <v>0</v>
      </c>
      <c r="Z96" s="2" t="b">
        <f t="shared" si="81"/>
        <v>1</v>
      </c>
      <c r="AA96" s="2" t="b">
        <f t="shared" si="82"/>
        <v>0</v>
      </c>
      <c r="AB96" s="2" t="b">
        <f t="shared" si="83"/>
        <v>0</v>
      </c>
      <c r="AC96" s="2" t="b">
        <f t="shared" si="84"/>
        <v>0</v>
      </c>
      <c r="AD96" s="2" t="b">
        <f t="shared" si="85"/>
        <v>1</v>
      </c>
      <c r="AF96" s="2">
        <f t="shared" si="86"/>
        <v>103</v>
      </c>
      <c r="AG96" s="2" t="b">
        <f t="shared" si="109"/>
        <v>1</v>
      </c>
      <c r="AH96" s="2" t="b">
        <f t="shared" si="110"/>
        <v>0</v>
      </c>
      <c r="AI96" s="2">
        <f t="shared" si="111"/>
        <v>103</v>
      </c>
      <c r="AJ96" s="2" t="str">
        <f t="shared" si="112"/>
        <v/>
      </c>
      <c r="AK96" s="2" t="b">
        <f t="shared" si="87"/>
        <v>1</v>
      </c>
      <c r="AL96" s="2" t="b">
        <f t="shared" si="88"/>
        <v>0</v>
      </c>
      <c r="AM96" s="2" t="b">
        <f t="shared" si="89"/>
        <v>0</v>
      </c>
      <c r="AN96" s="2" t="b">
        <f t="shared" si="90"/>
        <v>0</v>
      </c>
      <c r="AO96" s="2">
        <f t="shared" si="91"/>
        <v>95</v>
      </c>
      <c r="AP96" s="2" t="str">
        <f t="shared" si="92"/>
        <v/>
      </c>
      <c r="AQ96" s="2">
        <f t="shared" si="93"/>
        <v>8</v>
      </c>
      <c r="AR96" s="2" t="str">
        <f t="shared" si="94"/>
        <v/>
      </c>
      <c r="AS96" s="2">
        <f t="shared" si="95"/>
        <v>95</v>
      </c>
      <c r="AT96" s="2" t="str">
        <f t="shared" si="96"/>
        <v/>
      </c>
      <c r="AU96" s="2" t="str">
        <f t="shared" si="97"/>
        <v/>
      </c>
      <c r="AV96" s="2" t="str">
        <f t="shared" si="98"/>
        <v/>
      </c>
      <c r="AW96" s="2" t="str">
        <f t="shared" si="99"/>
        <v/>
      </c>
      <c r="AX96" s="2" t="str">
        <f t="shared" si="100"/>
        <v/>
      </c>
      <c r="AY96" s="2">
        <f t="shared" si="101"/>
        <v>8</v>
      </c>
      <c r="AZ96" s="2" t="str">
        <f t="shared" si="102"/>
        <v/>
      </c>
    </row>
    <row r="97" spans="2:52" hidden="1" outlineLevel="2" x14ac:dyDescent="0.25">
      <c r="B97" s="2">
        <v>96</v>
      </c>
      <c r="C97" s="2">
        <v>19</v>
      </c>
      <c r="E97" s="2" t="b">
        <f>ISPRIME(B97)</f>
        <v>0</v>
      </c>
      <c r="F97" s="2" t="b">
        <f>ISPRIME(C97)</f>
        <v>1</v>
      </c>
      <c r="G97" s="2" t="str">
        <f t="shared" si="103"/>
        <v/>
      </c>
      <c r="H97" s="2">
        <f t="shared" si="104"/>
        <v>19</v>
      </c>
      <c r="K97" s="2" t="b">
        <f t="shared" si="105"/>
        <v>0</v>
      </c>
      <c r="L97" s="2" t="b">
        <f t="shared" si="106"/>
        <v>0</v>
      </c>
      <c r="M97" s="2" t="b">
        <f t="shared" si="107"/>
        <v>1</v>
      </c>
      <c r="N97" s="2" t="b">
        <f t="shared" si="108"/>
        <v>0</v>
      </c>
      <c r="Q97" s="2" t="b">
        <f t="shared" si="72"/>
        <v>0</v>
      </c>
      <c r="R97" s="2" t="b">
        <f t="shared" si="73"/>
        <v>1</v>
      </c>
      <c r="S97" s="2" t="b">
        <f t="shared" si="74"/>
        <v>1</v>
      </c>
      <c r="T97" s="2" t="b">
        <f t="shared" si="75"/>
        <v>0</v>
      </c>
      <c r="U97" s="2" t="str">
        <f t="shared" si="76"/>
        <v/>
      </c>
      <c r="V97" s="2">
        <f t="shared" si="77"/>
        <v>96</v>
      </c>
      <c r="W97" s="2">
        <f t="shared" si="78"/>
        <v>19</v>
      </c>
      <c r="X97" s="2" t="str">
        <f t="shared" si="79"/>
        <v/>
      </c>
      <c r="Y97" s="2" t="b">
        <f t="shared" si="80"/>
        <v>0</v>
      </c>
      <c r="Z97" s="2" t="b">
        <f t="shared" si="81"/>
        <v>1</v>
      </c>
      <c r="AA97" s="2" t="b">
        <f t="shared" si="82"/>
        <v>0</v>
      </c>
      <c r="AB97" s="2" t="b">
        <f t="shared" si="83"/>
        <v>1</v>
      </c>
      <c r="AC97" s="2" t="b">
        <f t="shared" si="84"/>
        <v>0</v>
      </c>
      <c r="AD97" s="2" t="b">
        <f t="shared" si="85"/>
        <v>0</v>
      </c>
      <c r="AF97" s="2">
        <f t="shared" si="86"/>
        <v>115</v>
      </c>
      <c r="AG97" s="2" t="b">
        <f t="shared" si="109"/>
        <v>1</v>
      </c>
      <c r="AH97" s="2" t="b">
        <f t="shared" si="110"/>
        <v>0</v>
      </c>
      <c r="AI97" s="2">
        <f t="shared" si="111"/>
        <v>115</v>
      </c>
      <c r="AJ97" s="2" t="str">
        <f t="shared" si="112"/>
        <v/>
      </c>
      <c r="AK97" s="2" t="b">
        <f t="shared" si="87"/>
        <v>0</v>
      </c>
      <c r="AL97" s="2" t="b">
        <f t="shared" si="88"/>
        <v>0</v>
      </c>
      <c r="AM97" s="2" t="b">
        <f t="shared" si="89"/>
        <v>1</v>
      </c>
      <c r="AN97" s="2" t="b">
        <f t="shared" si="90"/>
        <v>0</v>
      </c>
      <c r="AO97" s="2">
        <f t="shared" si="91"/>
        <v>96</v>
      </c>
      <c r="AP97" s="2" t="str">
        <f t="shared" si="92"/>
        <v/>
      </c>
      <c r="AQ97" s="2">
        <f t="shared" si="93"/>
        <v>19</v>
      </c>
      <c r="AR97" s="2" t="str">
        <f t="shared" si="94"/>
        <v/>
      </c>
      <c r="AS97" s="2" t="str">
        <f t="shared" si="95"/>
        <v/>
      </c>
      <c r="AT97" s="2" t="str">
        <f t="shared" si="96"/>
        <v/>
      </c>
      <c r="AU97" s="2">
        <f t="shared" si="97"/>
        <v>96</v>
      </c>
      <c r="AV97" s="2" t="str">
        <f t="shared" si="98"/>
        <v/>
      </c>
      <c r="AW97" s="2">
        <f t="shared" si="99"/>
        <v>19</v>
      </c>
      <c r="AX97" s="2" t="str">
        <f t="shared" si="100"/>
        <v/>
      </c>
      <c r="AY97" s="2" t="str">
        <f t="shared" si="101"/>
        <v/>
      </c>
      <c r="AZ97" s="2" t="str">
        <f t="shared" si="102"/>
        <v/>
      </c>
    </row>
    <row r="98" spans="2:52" hidden="1" outlineLevel="2" x14ac:dyDescent="0.25">
      <c r="B98" s="2">
        <v>97</v>
      </c>
      <c r="C98" s="2">
        <v>5</v>
      </c>
      <c r="E98" s="2" t="b">
        <f>ISPRIME(B98)</f>
        <v>1</v>
      </c>
      <c r="F98" s="2" t="b">
        <f>ISPRIME(C98)</f>
        <v>1</v>
      </c>
      <c r="G98" s="2">
        <f t="shared" si="103"/>
        <v>97</v>
      </c>
      <c r="H98" s="2">
        <f t="shared" si="104"/>
        <v>5</v>
      </c>
      <c r="K98" s="2" t="b">
        <f t="shared" si="105"/>
        <v>1</v>
      </c>
      <c r="L98" s="2" t="b">
        <f t="shared" si="106"/>
        <v>0</v>
      </c>
      <c r="M98" s="2" t="b">
        <f t="shared" si="107"/>
        <v>0</v>
      </c>
      <c r="N98" s="2" t="b">
        <f t="shared" si="108"/>
        <v>0</v>
      </c>
      <c r="Q98" s="2" t="b">
        <f t="shared" ref="Q98:Q115" si="113">ISODD(B98)</f>
        <v>1</v>
      </c>
      <c r="R98" s="2" t="b">
        <f t="shared" ref="R98:R115" si="114">ISEVEN(B98)</f>
        <v>0</v>
      </c>
      <c r="S98" s="2" t="b">
        <f t="shared" ref="S98:S115" si="115">ISODD(C98)</f>
        <v>1</v>
      </c>
      <c r="T98" s="2" t="b">
        <f t="shared" ref="T98:T115" si="116">ISEVEN(C98)</f>
        <v>0</v>
      </c>
      <c r="U98" s="2">
        <f t="shared" ref="U98:U115" si="117">IF(Q98, B98, "")</f>
        <v>97</v>
      </c>
      <c r="V98" s="2" t="str">
        <f t="shared" ref="V98:V115" si="118">IF(R98, B98, "")</f>
        <v/>
      </c>
      <c r="W98" s="2">
        <f t="shared" ref="W98:W115" si="119">IF(S98, C98, "")</f>
        <v>5</v>
      </c>
      <c r="X98" s="2" t="str">
        <f t="shared" ref="X98:X115" si="120">IF(T98, C98, "")</f>
        <v/>
      </c>
      <c r="Y98" s="2" t="b">
        <f t="shared" ref="Y98:Y115" si="121">OR(AND(Q98, S98), AND(R98, T98))</f>
        <v>1</v>
      </c>
      <c r="Z98" s="2" t="b">
        <f t="shared" ref="Z98:Z115" si="122">OR(AND(Q98, T98), AND(R98, S98))</f>
        <v>0</v>
      </c>
      <c r="AA98" s="2" t="b">
        <f t="shared" ref="AA98:AA115" si="123">AND(Q98, S98)</f>
        <v>1</v>
      </c>
      <c r="AB98" s="2" t="b">
        <f t="shared" ref="AB98:AB115" si="124">AND(R98, S98)</f>
        <v>0</v>
      </c>
      <c r="AC98" s="2" t="b">
        <f t="shared" ref="AC98:AC115" si="125">AND(R98, T98)</f>
        <v>0</v>
      </c>
      <c r="AD98" s="2" t="b">
        <f t="shared" ref="AD98:AD115" si="126">AND(Q98, T98)</f>
        <v>0</v>
      </c>
      <c r="AF98" s="2">
        <f t="shared" ref="AF98:AF115" si="127">SUM(B98, C98)</f>
        <v>102</v>
      </c>
      <c r="AG98" s="2" t="b">
        <f t="shared" si="109"/>
        <v>0</v>
      </c>
      <c r="AH98" s="2" t="b">
        <f t="shared" si="110"/>
        <v>1</v>
      </c>
      <c r="AI98" s="2" t="str">
        <f t="shared" si="111"/>
        <v/>
      </c>
      <c r="AJ98" s="2">
        <f t="shared" si="112"/>
        <v>102</v>
      </c>
      <c r="AK98" s="2" t="b">
        <f t="shared" ref="AK98:AK115" si="128">AND(ISODD(B98),ISODD(AF98))</f>
        <v>0</v>
      </c>
      <c r="AL98" s="2" t="b">
        <f t="shared" ref="AL98:AL115" si="129">AND(ISODD(B98),ISEVEN(AF98))</f>
        <v>1</v>
      </c>
      <c r="AM98" s="2" t="b">
        <f t="shared" ref="AM98:AM115" si="130">AND(ISEVEN(B98),ISODD(AF98))</f>
        <v>0</v>
      </c>
      <c r="AN98" s="2" t="b">
        <f t="shared" ref="AN98:AN115" si="131">AND(ISEVEN(B98),ISEVEN(AF98))</f>
        <v>0</v>
      </c>
      <c r="AO98" s="2" t="str">
        <f t="shared" ref="AO98:AO115" si="132">IF(AG98,B98, "")</f>
        <v/>
      </c>
      <c r="AP98" s="2">
        <f t="shared" ref="AP98:AP115" si="133">IF(AH98, B98, "")</f>
        <v>97</v>
      </c>
      <c r="AQ98" s="2" t="str">
        <f t="shared" ref="AQ98:AQ115" si="134">IF(AG98, C98, "")</f>
        <v/>
      </c>
      <c r="AR98" s="2">
        <f t="shared" ref="AR98:AR115" si="135">IF(AH98, C98, "")</f>
        <v>5</v>
      </c>
      <c r="AS98" s="2" t="str">
        <f t="shared" ref="AS98:AS115" si="136">IF(AND(ISODD(B98),ISODD(AF98)), B98, "")</f>
        <v/>
      </c>
      <c r="AT98" s="2">
        <f t="shared" ref="AT98:AT115" si="137">IF(AND(ISODD(B98),ISEVEN(AF98)), B98, "")</f>
        <v>97</v>
      </c>
      <c r="AU98" s="2" t="str">
        <f t="shared" ref="AU98:AU115" si="138">IF(AND(ISEVEN(B98),ISODD(AF98)), B98, "")</f>
        <v/>
      </c>
      <c r="AV98" s="2" t="str">
        <f t="shared" ref="AV98:AV115" si="139">IF(AND(ISEVEN(B98),ISEVEN(AF98)), B98, "")</f>
        <v/>
      </c>
      <c r="AW98" s="2" t="str">
        <f t="shared" ref="AW98:AW115" si="140">IF(AND(ISODD(C98),ISODD(AF98)), C98, "")</f>
        <v/>
      </c>
      <c r="AX98" s="2">
        <f t="shared" ref="AX98:AX115" si="141">IF(AND(ISODD(C98),ISEVEN(AF98)), C98, "")</f>
        <v>5</v>
      </c>
      <c r="AY98" s="2" t="str">
        <f t="shared" ref="AY98:AY115" si="142">IF(AND(ISEVEN(C98),ISODD(AF98)), C98, "")</f>
        <v/>
      </c>
      <c r="AZ98" s="2" t="str">
        <f t="shared" ref="AZ98:AZ115" si="143">IF(AND(ISEVEN(C98),ISEVEN(AF98)), C98, "")</f>
        <v/>
      </c>
    </row>
    <row r="99" spans="2:52" hidden="1" outlineLevel="2" x14ac:dyDescent="0.25">
      <c r="B99" s="2">
        <v>98</v>
      </c>
      <c r="C99" s="2">
        <v>8</v>
      </c>
      <c r="E99" s="2" t="b">
        <f>ISPRIME(B99)</f>
        <v>0</v>
      </c>
      <c r="F99" s="2" t="b">
        <f>ISPRIME(C99)</f>
        <v>0</v>
      </c>
      <c r="G99" s="2" t="str">
        <f t="shared" si="103"/>
        <v/>
      </c>
      <c r="H99" s="2" t="str">
        <f t="shared" si="104"/>
        <v/>
      </c>
      <c r="K99" s="2" t="b">
        <f t="shared" si="105"/>
        <v>0</v>
      </c>
      <c r="L99" s="2" t="b">
        <f t="shared" si="106"/>
        <v>0</v>
      </c>
      <c r="M99" s="2" t="b">
        <f t="shared" si="107"/>
        <v>0</v>
      </c>
      <c r="N99" s="2" t="b">
        <f t="shared" si="108"/>
        <v>1</v>
      </c>
      <c r="Q99" s="2" t="b">
        <f t="shared" si="113"/>
        <v>0</v>
      </c>
      <c r="R99" s="2" t="b">
        <f t="shared" si="114"/>
        <v>1</v>
      </c>
      <c r="S99" s="2" t="b">
        <f t="shared" si="115"/>
        <v>0</v>
      </c>
      <c r="T99" s="2" t="b">
        <f t="shared" si="116"/>
        <v>1</v>
      </c>
      <c r="U99" s="2" t="str">
        <f t="shared" si="117"/>
        <v/>
      </c>
      <c r="V99" s="2">
        <f t="shared" si="118"/>
        <v>98</v>
      </c>
      <c r="W99" s="2" t="str">
        <f t="shared" si="119"/>
        <v/>
      </c>
      <c r="X99" s="2">
        <f t="shared" si="120"/>
        <v>8</v>
      </c>
      <c r="Y99" s="2" t="b">
        <f t="shared" si="121"/>
        <v>1</v>
      </c>
      <c r="Z99" s="2" t="b">
        <f t="shared" si="122"/>
        <v>0</v>
      </c>
      <c r="AA99" s="2" t="b">
        <f t="shared" si="123"/>
        <v>0</v>
      </c>
      <c r="AB99" s="2" t="b">
        <f t="shared" si="124"/>
        <v>0</v>
      </c>
      <c r="AC99" s="2" t="b">
        <f t="shared" si="125"/>
        <v>1</v>
      </c>
      <c r="AD99" s="2" t="b">
        <f t="shared" si="126"/>
        <v>0</v>
      </c>
      <c r="AF99" s="2">
        <f t="shared" si="127"/>
        <v>106</v>
      </c>
      <c r="AG99" s="2" t="b">
        <f t="shared" si="109"/>
        <v>0</v>
      </c>
      <c r="AH99" s="2" t="b">
        <f t="shared" si="110"/>
        <v>1</v>
      </c>
      <c r="AI99" s="2" t="str">
        <f t="shared" si="111"/>
        <v/>
      </c>
      <c r="AJ99" s="2">
        <f t="shared" si="112"/>
        <v>106</v>
      </c>
      <c r="AK99" s="2" t="b">
        <f t="shared" si="128"/>
        <v>0</v>
      </c>
      <c r="AL99" s="2" t="b">
        <f t="shared" si="129"/>
        <v>0</v>
      </c>
      <c r="AM99" s="2" t="b">
        <f t="shared" si="130"/>
        <v>0</v>
      </c>
      <c r="AN99" s="2" t="b">
        <f t="shared" si="131"/>
        <v>1</v>
      </c>
      <c r="AO99" s="2" t="str">
        <f t="shared" si="132"/>
        <v/>
      </c>
      <c r="AP99" s="2">
        <f t="shared" si="133"/>
        <v>98</v>
      </c>
      <c r="AQ99" s="2" t="str">
        <f t="shared" si="134"/>
        <v/>
      </c>
      <c r="AR99" s="2">
        <f t="shared" si="135"/>
        <v>8</v>
      </c>
      <c r="AS99" s="2" t="str">
        <f t="shared" si="136"/>
        <v/>
      </c>
      <c r="AT99" s="2" t="str">
        <f t="shared" si="137"/>
        <v/>
      </c>
      <c r="AU99" s="2" t="str">
        <f t="shared" si="138"/>
        <v/>
      </c>
      <c r="AV99" s="2">
        <f t="shared" si="139"/>
        <v>98</v>
      </c>
      <c r="AW99" s="2" t="str">
        <f t="shared" si="140"/>
        <v/>
      </c>
      <c r="AX99" s="2" t="str">
        <f t="shared" si="141"/>
        <v/>
      </c>
      <c r="AY99" s="2" t="str">
        <f t="shared" si="142"/>
        <v/>
      </c>
      <c r="AZ99" s="2">
        <f t="shared" si="143"/>
        <v>8</v>
      </c>
    </row>
    <row r="100" spans="2:52" hidden="1" outlineLevel="2" x14ac:dyDescent="0.25">
      <c r="B100" s="2">
        <v>99</v>
      </c>
      <c r="C100" s="2">
        <v>8</v>
      </c>
      <c r="E100" s="2" t="b">
        <f>ISPRIME(B100)</f>
        <v>0</v>
      </c>
      <c r="F100" s="2" t="b">
        <f>ISPRIME(C100)</f>
        <v>0</v>
      </c>
      <c r="G100" s="2" t="str">
        <f t="shared" si="103"/>
        <v/>
      </c>
      <c r="H100" s="2" t="str">
        <f t="shared" si="104"/>
        <v/>
      </c>
      <c r="K100" s="2" t="b">
        <f t="shared" si="105"/>
        <v>0</v>
      </c>
      <c r="L100" s="2" t="b">
        <f t="shared" si="106"/>
        <v>0</v>
      </c>
      <c r="M100" s="2" t="b">
        <f t="shared" si="107"/>
        <v>0</v>
      </c>
      <c r="N100" s="2" t="b">
        <f t="shared" si="108"/>
        <v>1</v>
      </c>
      <c r="Q100" s="2" t="b">
        <f t="shared" si="113"/>
        <v>1</v>
      </c>
      <c r="R100" s="2" t="b">
        <f t="shared" si="114"/>
        <v>0</v>
      </c>
      <c r="S100" s="2" t="b">
        <f t="shared" si="115"/>
        <v>0</v>
      </c>
      <c r="T100" s="2" t="b">
        <f t="shared" si="116"/>
        <v>1</v>
      </c>
      <c r="U100" s="2">
        <f t="shared" si="117"/>
        <v>99</v>
      </c>
      <c r="V100" s="2" t="str">
        <f t="shared" si="118"/>
        <v/>
      </c>
      <c r="W100" s="2" t="str">
        <f t="shared" si="119"/>
        <v/>
      </c>
      <c r="X100" s="2">
        <f t="shared" si="120"/>
        <v>8</v>
      </c>
      <c r="Y100" s="2" t="b">
        <f t="shared" si="121"/>
        <v>0</v>
      </c>
      <c r="Z100" s="2" t="b">
        <f t="shared" si="122"/>
        <v>1</v>
      </c>
      <c r="AA100" s="2" t="b">
        <f t="shared" si="123"/>
        <v>0</v>
      </c>
      <c r="AB100" s="2" t="b">
        <f t="shared" si="124"/>
        <v>0</v>
      </c>
      <c r="AC100" s="2" t="b">
        <f t="shared" si="125"/>
        <v>0</v>
      </c>
      <c r="AD100" s="2" t="b">
        <f t="shared" si="126"/>
        <v>1</v>
      </c>
      <c r="AF100" s="2">
        <f t="shared" si="127"/>
        <v>107</v>
      </c>
      <c r="AG100" s="2" t="b">
        <f t="shared" si="109"/>
        <v>1</v>
      </c>
      <c r="AH100" s="2" t="b">
        <f t="shared" si="110"/>
        <v>0</v>
      </c>
      <c r="AI100" s="2">
        <f t="shared" si="111"/>
        <v>107</v>
      </c>
      <c r="AJ100" s="2" t="str">
        <f t="shared" si="112"/>
        <v/>
      </c>
      <c r="AK100" s="2" t="b">
        <f t="shared" si="128"/>
        <v>1</v>
      </c>
      <c r="AL100" s="2" t="b">
        <f t="shared" si="129"/>
        <v>0</v>
      </c>
      <c r="AM100" s="2" t="b">
        <f t="shared" si="130"/>
        <v>0</v>
      </c>
      <c r="AN100" s="2" t="b">
        <f t="shared" si="131"/>
        <v>0</v>
      </c>
      <c r="AO100" s="2">
        <f t="shared" si="132"/>
        <v>99</v>
      </c>
      <c r="AP100" s="2" t="str">
        <f t="shared" si="133"/>
        <v/>
      </c>
      <c r="AQ100" s="2">
        <f t="shared" si="134"/>
        <v>8</v>
      </c>
      <c r="AR100" s="2" t="str">
        <f t="shared" si="135"/>
        <v/>
      </c>
      <c r="AS100" s="2">
        <f t="shared" si="136"/>
        <v>99</v>
      </c>
      <c r="AT100" s="2" t="str">
        <f t="shared" si="137"/>
        <v/>
      </c>
      <c r="AU100" s="2" t="str">
        <f t="shared" si="138"/>
        <v/>
      </c>
      <c r="AV100" s="2" t="str">
        <f t="shared" si="139"/>
        <v/>
      </c>
      <c r="AW100" s="2" t="str">
        <f t="shared" si="140"/>
        <v/>
      </c>
      <c r="AX100" s="2" t="str">
        <f t="shared" si="141"/>
        <v/>
      </c>
      <c r="AY100" s="2">
        <f t="shared" si="142"/>
        <v>8</v>
      </c>
      <c r="AZ100" s="2" t="str">
        <f t="shared" si="143"/>
        <v/>
      </c>
    </row>
    <row r="101" spans="2:52" hidden="1" outlineLevel="2" x14ac:dyDescent="0.25">
      <c r="B101" s="2">
        <v>100</v>
      </c>
      <c r="C101" s="2">
        <v>11</v>
      </c>
      <c r="E101" s="2" t="b">
        <f>ISPRIME(B101)</f>
        <v>0</v>
      </c>
      <c r="F101" s="2" t="b">
        <f>ISPRIME(C101)</f>
        <v>1</v>
      </c>
      <c r="G101" s="2" t="str">
        <f t="shared" si="103"/>
        <v/>
      </c>
      <c r="H101" s="2">
        <f t="shared" si="104"/>
        <v>11</v>
      </c>
      <c r="K101" s="2" t="b">
        <f t="shared" si="105"/>
        <v>0</v>
      </c>
      <c r="L101" s="2" t="b">
        <f t="shared" si="106"/>
        <v>0</v>
      </c>
      <c r="M101" s="2" t="b">
        <f t="shared" si="107"/>
        <v>1</v>
      </c>
      <c r="N101" s="2" t="b">
        <f t="shared" si="108"/>
        <v>0</v>
      </c>
      <c r="Q101" s="2" t="b">
        <f t="shared" si="113"/>
        <v>0</v>
      </c>
      <c r="R101" s="2" t="b">
        <f t="shared" si="114"/>
        <v>1</v>
      </c>
      <c r="S101" s="2" t="b">
        <f t="shared" si="115"/>
        <v>1</v>
      </c>
      <c r="T101" s="2" t="b">
        <f t="shared" si="116"/>
        <v>0</v>
      </c>
      <c r="U101" s="2" t="str">
        <f t="shared" si="117"/>
        <v/>
      </c>
      <c r="V101" s="2">
        <f t="shared" si="118"/>
        <v>100</v>
      </c>
      <c r="W101" s="2">
        <f t="shared" si="119"/>
        <v>11</v>
      </c>
      <c r="X101" s="2" t="str">
        <f t="shared" si="120"/>
        <v/>
      </c>
      <c r="Y101" s="2" t="b">
        <f t="shared" si="121"/>
        <v>0</v>
      </c>
      <c r="Z101" s="2" t="b">
        <f t="shared" si="122"/>
        <v>1</v>
      </c>
      <c r="AA101" s="2" t="b">
        <f t="shared" si="123"/>
        <v>0</v>
      </c>
      <c r="AB101" s="2" t="b">
        <f t="shared" si="124"/>
        <v>1</v>
      </c>
      <c r="AC101" s="2" t="b">
        <f t="shared" si="125"/>
        <v>0</v>
      </c>
      <c r="AD101" s="2" t="b">
        <f t="shared" si="126"/>
        <v>0</v>
      </c>
      <c r="AF101" s="2">
        <f t="shared" si="127"/>
        <v>111</v>
      </c>
      <c r="AG101" s="2" t="b">
        <f t="shared" si="109"/>
        <v>1</v>
      </c>
      <c r="AH101" s="2" t="b">
        <f t="shared" si="110"/>
        <v>0</v>
      </c>
      <c r="AI101" s="2">
        <f t="shared" si="111"/>
        <v>111</v>
      </c>
      <c r="AJ101" s="2" t="str">
        <f t="shared" si="112"/>
        <v/>
      </c>
      <c r="AK101" s="2" t="b">
        <f t="shared" si="128"/>
        <v>0</v>
      </c>
      <c r="AL101" s="2" t="b">
        <f t="shared" si="129"/>
        <v>0</v>
      </c>
      <c r="AM101" s="2" t="b">
        <f t="shared" si="130"/>
        <v>1</v>
      </c>
      <c r="AN101" s="2" t="b">
        <f t="shared" si="131"/>
        <v>0</v>
      </c>
      <c r="AO101" s="2">
        <f t="shared" si="132"/>
        <v>100</v>
      </c>
      <c r="AP101" s="2" t="str">
        <f t="shared" si="133"/>
        <v/>
      </c>
      <c r="AQ101" s="2">
        <f t="shared" si="134"/>
        <v>11</v>
      </c>
      <c r="AR101" s="2" t="str">
        <f t="shared" si="135"/>
        <v/>
      </c>
      <c r="AS101" s="2" t="str">
        <f t="shared" si="136"/>
        <v/>
      </c>
      <c r="AT101" s="2" t="str">
        <f t="shared" si="137"/>
        <v/>
      </c>
      <c r="AU101" s="2">
        <f t="shared" si="138"/>
        <v>100</v>
      </c>
      <c r="AV101" s="2" t="str">
        <f t="shared" si="139"/>
        <v/>
      </c>
      <c r="AW101" s="2">
        <f t="shared" si="140"/>
        <v>11</v>
      </c>
      <c r="AX101" s="2" t="str">
        <f t="shared" si="141"/>
        <v/>
      </c>
      <c r="AY101" s="2" t="str">
        <f t="shared" si="142"/>
        <v/>
      </c>
      <c r="AZ101" s="2" t="str">
        <f t="shared" si="143"/>
        <v/>
      </c>
    </row>
    <row r="102" spans="2:52" hidden="1" outlineLevel="2" x14ac:dyDescent="0.25">
      <c r="B102" s="2">
        <v>101</v>
      </c>
      <c r="C102" s="2">
        <v>11</v>
      </c>
      <c r="E102" s="2" t="b">
        <f>ISPRIME(B102)</f>
        <v>1</v>
      </c>
      <c r="F102" s="2" t="b">
        <f>ISPRIME(C102)</f>
        <v>1</v>
      </c>
      <c r="G102" s="2">
        <f t="shared" si="103"/>
        <v>101</v>
      </c>
      <c r="H102" s="2">
        <f t="shared" si="104"/>
        <v>11</v>
      </c>
      <c r="K102" s="2" t="b">
        <f t="shared" si="105"/>
        <v>1</v>
      </c>
      <c r="L102" s="2" t="b">
        <f t="shared" si="106"/>
        <v>0</v>
      </c>
      <c r="M102" s="2" t="b">
        <f t="shared" si="107"/>
        <v>0</v>
      </c>
      <c r="N102" s="2" t="b">
        <f t="shared" si="108"/>
        <v>0</v>
      </c>
      <c r="Q102" s="2" t="b">
        <f t="shared" si="113"/>
        <v>1</v>
      </c>
      <c r="R102" s="2" t="b">
        <f t="shared" si="114"/>
        <v>0</v>
      </c>
      <c r="S102" s="2" t="b">
        <f t="shared" si="115"/>
        <v>1</v>
      </c>
      <c r="T102" s="2" t="b">
        <f t="shared" si="116"/>
        <v>0</v>
      </c>
      <c r="U102" s="2">
        <f t="shared" si="117"/>
        <v>101</v>
      </c>
      <c r="V102" s="2" t="str">
        <f t="shared" si="118"/>
        <v/>
      </c>
      <c r="W102" s="2">
        <f t="shared" si="119"/>
        <v>11</v>
      </c>
      <c r="X102" s="2" t="str">
        <f t="shared" si="120"/>
        <v/>
      </c>
      <c r="Y102" s="2" t="b">
        <f t="shared" si="121"/>
        <v>1</v>
      </c>
      <c r="Z102" s="2" t="b">
        <f t="shared" si="122"/>
        <v>0</v>
      </c>
      <c r="AA102" s="2" t="b">
        <f t="shared" si="123"/>
        <v>1</v>
      </c>
      <c r="AB102" s="2" t="b">
        <f t="shared" si="124"/>
        <v>0</v>
      </c>
      <c r="AC102" s="2" t="b">
        <f t="shared" si="125"/>
        <v>0</v>
      </c>
      <c r="AD102" s="2" t="b">
        <f t="shared" si="126"/>
        <v>0</v>
      </c>
      <c r="AF102" s="2">
        <f t="shared" si="127"/>
        <v>112</v>
      </c>
      <c r="AG102" s="2" t="b">
        <f t="shared" si="109"/>
        <v>0</v>
      </c>
      <c r="AH102" s="2" t="b">
        <f t="shared" si="110"/>
        <v>1</v>
      </c>
      <c r="AI102" s="2" t="str">
        <f t="shared" si="111"/>
        <v/>
      </c>
      <c r="AJ102" s="2">
        <f t="shared" si="112"/>
        <v>112</v>
      </c>
      <c r="AK102" s="2" t="b">
        <f t="shared" si="128"/>
        <v>0</v>
      </c>
      <c r="AL102" s="2" t="b">
        <f t="shared" si="129"/>
        <v>1</v>
      </c>
      <c r="AM102" s="2" t="b">
        <f t="shared" si="130"/>
        <v>0</v>
      </c>
      <c r="AN102" s="2" t="b">
        <f t="shared" si="131"/>
        <v>0</v>
      </c>
      <c r="AO102" s="2" t="str">
        <f t="shared" si="132"/>
        <v/>
      </c>
      <c r="AP102" s="2">
        <f t="shared" si="133"/>
        <v>101</v>
      </c>
      <c r="AQ102" s="2" t="str">
        <f t="shared" si="134"/>
        <v/>
      </c>
      <c r="AR102" s="2">
        <f t="shared" si="135"/>
        <v>11</v>
      </c>
      <c r="AS102" s="2" t="str">
        <f t="shared" si="136"/>
        <v/>
      </c>
      <c r="AT102" s="2">
        <f t="shared" si="137"/>
        <v>101</v>
      </c>
      <c r="AU102" s="2" t="str">
        <f t="shared" si="138"/>
        <v/>
      </c>
      <c r="AV102" s="2" t="str">
        <f t="shared" si="139"/>
        <v/>
      </c>
      <c r="AW102" s="2" t="str">
        <f t="shared" si="140"/>
        <v/>
      </c>
      <c r="AX102" s="2">
        <f t="shared" si="141"/>
        <v>11</v>
      </c>
      <c r="AY102" s="2" t="str">
        <f t="shared" si="142"/>
        <v/>
      </c>
      <c r="AZ102" s="2" t="str">
        <f t="shared" si="143"/>
        <v/>
      </c>
    </row>
    <row r="103" spans="2:52" hidden="1" outlineLevel="2" x14ac:dyDescent="0.25">
      <c r="B103" s="2">
        <v>102</v>
      </c>
      <c r="C103" s="2">
        <v>8</v>
      </c>
      <c r="E103" s="2" t="b">
        <f>ISPRIME(B103)</f>
        <v>0</v>
      </c>
      <c r="F103" s="2" t="b">
        <f>ISPRIME(C103)</f>
        <v>0</v>
      </c>
      <c r="G103" s="2" t="str">
        <f t="shared" si="103"/>
        <v/>
      </c>
      <c r="H103" s="2" t="str">
        <f t="shared" si="104"/>
        <v/>
      </c>
      <c r="K103" s="2" t="b">
        <f t="shared" si="105"/>
        <v>0</v>
      </c>
      <c r="L103" s="2" t="b">
        <f t="shared" si="106"/>
        <v>0</v>
      </c>
      <c r="M103" s="2" t="b">
        <f t="shared" si="107"/>
        <v>0</v>
      </c>
      <c r="N103" s="2" t="b">
        <f t="shared" si="108"/>
        <v>1</v>
      </c>
      <c r="Q103" s="2" t="b">
        <f t="shared" si="113"/>
        <v>0</v>
      </c>
      <c r="R103" s="2" t="b">
        <f t="shared" si="114"/>
        <v>1</v>
      </c>
      <c r="S103" s="2" t="b">
        <f t="shared" si="115"/>
        <v>0</v>
      </c>
      <c r="T103" s="2" t="b">
        <f t="shared" si="116"/>
        <v>1</v>
      </c>
      <c r="U103" s="2" t="str">
        <f t="shared" si="117"/>
        <v/>
      </c>
      <c r="V103" s="2">
        <f t="shared" si="118"/>
        <v>102</v>
      </c>
      <c r="W103" s="2" t="str">
        <f t="shared" si="119"/>
        <v/>
      </c>
      <c r="X103" s="2">
        <f t="shared" si="120"/>
        <v>8</v>
      </c>
      <c r="Y103" s="2" t="b">
        <f t="shared" si="121"/>
        <v>1</v>
      </c>
      <c r="Z103" s="2" t="b">
        <f t="shared" si="122"/>
        <v>0</v>
      </c>
      <c r="AA103" s="2" t="b">
        <f t="shared" si="123"/>
        <v>0</v>
      </c>
      <c r="AB103" s="2" t="b">
        <f t="shared" si="124"/>
        <v>0</v>
      </c>
      <c r="AC103" s="2" t="b">
        <f t="shared" si="125"/>
        <v>1</v>
      </c>
      <c r="AD103" s="2" t="b">
        <f t="shared" si="126"/>
        <v>0</v>
      </c>
      <c r="AF103" s="2">
        <f t="shared" si="127"/>
        <v>110</v>
      </c>
      <c r="AG103" s="2" t="b">
        <f t="shared" si="109"/>
        <v>0</v>
      </c>
      <c r="AH103" s="2" t="b">
        <f t="shared" si="110"/>
        <v>1</v>
      </c>
      <c r="AI103" s="2" t="str">
        <f t="shared" si="111"/>
        <v/>
      </c>
      <c r="AJ103" s="2">
        <f t="shared" si="112"/>
        <v>110</v>
      </c>
      <c r="AK103" s="2" t="b">
        <f t="shared" si="128"/>
        <v>0</v>
      </c>
      <c r="AL103" s="2" t="b">
        <f t="shared" si="129"/>
        <v>0</v>
      </c>
      <c r="AM103" s="2" t="b">
        <f t="shared" si="130"/>
        <v>0</v>
      </c>
      <c r="AN103" s="2" t="b">
        <f t="shared" si="131"/>
        <v>1</v>
      </c>
      <c r="AO103" s="2" t="str">
        <f t="shared" si="132"/>
        <v/>
      </c>
      <c r="AP103" s="2">
        <f t="shared" si="133"/>
        <v>102</v>
      </c>
      <c r="AQ103" s="2" t="str">
        <f t="shared" si="134"/>
        <v/>
      </c>
      <c r="AR103" s="2">
        <f t="shared" si="135"/>
        <v>8</v>
      </c>
      <c r="AS103" s="2" t="str">
        <f t="shared" si="136"/>
        <v/>
      </c>
      <c r="AT103" s="2" t="str">
        <f t="shared" si="137"/>
        <v/>
      </c>
      <c r="AU103" s="2" t="str">
        <f t="shared" si="138"/>
        <v/>
      </c>
      <c r="AV103" s="2">
        <f t="shared" si="139"/>
        <v>102</v>
      </c>
      <c r="AW103" s="2" t="str">
        <f t="shared" si="140"/>
        <v/>
      </c>
      <c r="AX103" s="2" t="str">
        <f t="shared" si="141"/>
        <v/>
      </c>
      <c r="AY103" s="2" t="str">
        <f t="shared" si="142"/>
        <v/>
      </c>
      <c r="AZ103" s="2">
        <f t="shared" si="143"/>
        <v>8</v>
      </c>
    </row>
    <row r="104" spans="2:52" hidden="1" outlineLevel="2" x14ac:dyDescent="0.25">
      <c r="B104" s="2">
        <v>103</v>
      </c>
      <c r="C104" s="2">
        <v>3</v>
      </c>
      <c r="E104" s="2" t="b">
        <f>ISPRIME(B104)</f>
        <v>1</v>
      </c>
      <c r="F104" s="2" t="b">
        <f>ISPRIME(C104)</f>
        <v>1</v>
      </c>
      <c r="G104" s="2">
        <f t="shared" si="103"/>
        <v>103</v>
      </c>
      <c r="H104" s="2">
        <f t="shared" si="104"/>
        <v>3</v>
      </c>
      <c r="K104" s="2" t="b">
        <f t="shared" si="105"/>
        <v>1</v>
      </c>
      <c r="L104" s="2" t="b">
        <f t="shared" si="106"/>
        <v>0</v>
      </c>
      <c r="M104" s="2" t="b">
        <f t="shared" si="107"/>
        <v>0</v>
      </c>
      <c r="N104" s="2" t="b">
        <f t="shared" si="108"/>
        <v>0</v>
      </c>
      <c r="Q104" s="2" t="b">
        <f t="shared" si="113"/>
        <v>1</v>
      </c>
      <c r="R104" s="2" t="b">
        <f t="shared" si="114"/>
        <v>0</v>
      </c>
      <c r="S104" s="2" t="b">
        <f t="shared" si="115"/>
        <v>1</v>
      </c>
      <c r="T104" s="2" t="b">
        <f t="shared" si="116"/>
        <v>0</v>
      </c>
      <c r="U104" s="2">
        <f t="shared" si="117"/>
        <v>103</v>
      </c>
      <c r="V104" s="2" t="str">
        <f t="shared" si="118"/>
        <v/>
      </c>
      <c r="W104" s="2">
        <f t="shared" si="119"/>
        <v>3</v>
      </c>
      <c r="X104" s="2" t="str">
        <f t="shared" si="120"/>
        <v/>
      </c>
      <c r="Y104" s="2" t="b">
        <f t="shared" si="121"/>
        <v>1</v>
      </c>
      <c r="Z104" s="2" t="b">
        <f t="shared" si="122"/>
        <v>0</v>
      </c>
      <c r="AA104" s="2" t="b">
        <f t="shared" si="123"/>
        <v>1</v>
      </c>
      <c r="AB104" s="2" t="b">
        <f t="shared" si="124"/>
        <v>0</v>
      </c>
      <c r="AC104" s="2" t="b">
        <f t="shared" si="125"/>
        <v>0</v>
      </c>
      <c r="AD104" s="2" t="b">
        <f t="shared" si="126"/>
        <v>0</v>
      </c>
      <c r="AF104" s="2">
        <f t="shared" si="127"/>
        <v>106</v>
      </c>
      <c r="AG104" s="2" t="b">
        <f t="shared" si="109"/>
        <v>0</v>
      </c>
      <c r="AH104" s="2" t="b">
        <f t="shared" si="110"/>
        <v>1</v>
      </c>
      <c r="AI104" s="2" t="str">
        <f t="shared" si="111"/>
        <v/>
      </c>
      <c r="AJ104" s="2">
        <f t="shared" si="112"/>
        <v>106</v>
      </c>
      <c r="AK104" s="2" t="b">
        <f t="shared" si="128"/>
        <v>0</v>
      </c>
      <c r="AL104" s="2" t="b">
        <f t="shared" si="129"/>
        <v>1</v>
      </c>
      <c r="AM104" s="2" t="b">
        <f t="shared" si="130"/>
        <v>0</v>
      </c>
      <c r="AN104" s="2" t="b">
        <f t="shared" si="131"/>
        <v>0</v>
      </c>
      <c r="AO104" s="2" t="str">
        <f t="shared" si="132"/>
        <v/>
      </c>
      <c r="AP104" s="2">
        <f t="shared" si="133"/>
        <v>103</v>
      </c>
      <c r="AQ104" s="2" t="str">
        <f t="shared" si="134"/>
        <v/>
      </c>
      <c r="AR104" s="2">
        <f t="shared" si="135"/>
        <v>3</v>
      </c>
      <c r="AS104" s="2" t="str">
        <f t="shared" si="136"/>
        <v/>
      </c>
      <c r="AT104" s="2">
        <f t="shared" si="137"/>
        <v>103</v>
      </c>
      <c r="AU104" s="2" t="str">
        <f t="shared" si="138"/>
        <v/>
      </c>
      <c r="AV104" s="2" t="str">
        <f t="shared" si="139"/>
        <v/>
      </c>
      <c r="AW104" s="2" t="str">
        <f t="shared" si="140"/>
        <v/>
      </c>
      <c r="AX104" s="2">
        <f t="shared" si="141"/>
        <v>3</v>
      </c>
      <c r="AY104" s="2" t="str">
        <f t="shared" si="142"/>
        <v/>
      </c>
      <c r="AZ104" s="2" t="str">
        <f t="shared" si="143"/>
        <v/>
      </c>
    </row>
    <row r="105" spans="2:52" hidden="1" outlineLevel="2" x14ac:dyDescent="0.25">
      <c r="B105" s="2">
        <v>104</v>
      </c>
      <c r="C105" s="2">
        <v>9</v>
      </c>
      <c r="E105" s="2" t="b">
        <f>ISPRIME(B105)</f>
        <v>0</v>
      </c>
      <c r="F105" s="2" t="b">
        <f>ISPRIME(C105)</f>
        <v>0</v>
      </c>
      <c r="G105" s="2" t="str">
        <f t="shared" si="103"/>
        <v/>
      </c>
      <c r="H105" s="2" t="str">
        <f t="shared" si="104"/>
        <v/>
      </c>
      <c r="K105" s="2" t="b">
        <f t="shared" si="105"/>
        <v>0</v>
      </c>
      <c r="L105" s="2" t="b">
        <f t="shared" si="106"/>
        <v>0</v>
      </c>
      <c r="M105" s="2" t="b">
        <f t="shared" si="107"/>
        <v>0</v>
      </c>
      <c r="N105" s="2" t="b">
        <f t="shared" si="108"/>
        <v>1</v>
      </c>
      <c r="Q105" s="2" t="b">
        <f t="shared" si="113"/>
        <v>0</v>
      </c>
      <c r="R105" s="2" t="b">
        <f t="shared" si="114"/>
        <v>1</v>
      </c>
      <c r="S105" s="2" t="b">
        <f t="shared" si="115"/>
        <v>1</v>
      </c>
      <c r="T105" s="2" t="b">
        <f t="shared" si="116"/>
        <v>0</v>
      </c>
      <c r="U105" s="2" t="str">
        <f t="shared" si="117"/>
        <v/>
      </c>
      <c r="V105" s="2">
        <f t="shared" si="118"/>
        <v>104</v>
      </c>
      <c r="W105" s="2">
        <f t="shared" si="119"/>
        <v>9</v>
      </c>
      <c r="X105" s="2" t="str">
        <f t="shared" si="120"/>
        <v/>
      </c>
      <c r="Y105" s="2" t="b">
        <f t="shared" si="121"/>
        <v>0</v>
      </c>
      <c r="Z105" s="2" t="b">
        <f t="shared" si="122"/>
        <v>1</v>
      </c>
      <c r="AA105" s="2" t="b">
        <f t="shared" si="123"/>
        <v>0</v>
      </c>
      <c r="AB105" s="2" t="b">
        <f t="shared" si="124"/>
        <v>1</v>
      </c>
      <c r="AC105" s="2" t="b">
        <f t="shared" si="125"/>
        <v>0</v>
      </c>
      <c r="AD105" s="2" t="b">
        <f t="shared" si="126"/>
        <v>0</v>
      </c>
      <c r="AF105" s="2">
        <f t="shared" si="127"/>
        <v>113</v>
      </c>
      <c r="AG105" s="2" t="b">
        <f t="shared" si="109"/>
        <v>1</v>
      </c>
      <c r="AH105" s="2" t="b">
        <f t="shared" si="110"/>
        <v>0</v>
      </c>
      <c r="AI105" s="2">
        <f t="shared" si="111"/>
        <v>113</v>
      </c>
      <c r="AJ105" s="2" t="str">
        <f t="shared" si="112"/>
        <v/>
      </c>
      <c r="AK105" s="2" t="b">
        <f t="shared" si="128"/>
        <v>0</v>
      </c>
      <c r="AL105" s="2" t="b">
        <f t="shared" si="129"/>
        <v>0</v>
      </c>
      <c r="AM105" s="2" t="b">
        <f t="shared" si="130"/>
        <v>1</v>
      </c>
      <c r="AN105" s="2" t="b">
        <f t="shared" si="131"/>
        <v>0</v>
      </c>
      <c r="AO105" s="2">
        <f t="shared" si="132"/>
        <v>104</v>
      </c>
      <c r="AP105" s="2" t="str">
        <f t="shared" si="133"/>
        <v/>
      </c>
      <c r="AQ105" s="2">
        <f t="shared" si="134"/>
        <v>9</v>
      </c>
      <c r="AR105" s="2" t="str">
        <f t="shared" si="135"/>
        <v/>
      </c>
      <c r="AS105" s="2" t="str">
        <f t="shared" si="136"/>
        <v/>
      </c>
      <c r="AT105" s="2" t="str">
        <f t="shared" si="137"/>
        <v/>
      </c>
      <c r="AU105" s="2">
        <f t="shared" si="138"/>
        <v>104</v>
      </c>
      <c r="AV105" s="2" t="str">
        <f t="shared" si="139"/>
        <v/>
      </c>
      <c r="AW105" s="2">
        <f t="shared" si="140"/>
        <v>9</v>
      </c>
      <c r="AX105" s="2" t="str">
        <f t="shared" si="141"/>
        <v/>
      </c>
      <c r="AY105" s="2" t="str">
        <f t="shared" si="142"/>
        <v/>
      </c>
      <c r="AZ105" s="2" t="str">
        <f t="shared" si="143"/>
        <v/>
      </c>
    </row>
    <row r="106" spans="2:52" hidden="1" outlineLevel="2" x14ac:dyDescent="0.25">
      <c r="B106" s="2">
        <v>105</v>
      </c>
      <c r="C106" s="2">
        <v>5</v>
      </c>
      <c r="E106" s="2" t="b">
        <f>ISPRIME(B106)</f>
        <v>0</v>
      </c>
      <c r="F106" s="2" t="b">
        <f>ISPRIME(C106)</f>
        <v>1</v>
      </c>
      <c r="G106" s="2" t="str">
        <f t="shared" si="103"/>
        <v/>
      </c>
      <c r="H106" s="2">
        <f t="shared" si="104"/>
        <v>5</v>
      </c>
      <c r="K106" s="2" t="b">
        <f t="shared" si="105"/>
        <v>0</v>
      </c>
      <c r="L106" s="2" t="b">
        <f t="shared" si="106"/>
        <v>0</v>
      </c>
      <c r="M106" s="2" t="b">
        <f t="shared" si="107"/>
        <v>1</v>
      </c>
      <c r="N106" s="2" t="b">
        <f t="shared" si="108"/>
        <v>0</v>
      </c>
      <c r="Q106" s="2" t="b">
        <f t="shared" si="113"/>
        <v>1</v>
      </c>
      <c r="R106" s="2" t="b">
        <f t="shared" si="114"/>
        <v>0</v>
      </c>
      <c r="S106" s="2" t="b">
        <f t="shared" si="115"/>
        <v>1</v>
      </c>
      <c r="T106" s="2" t="b">
        <f t="shared" si="116"/>
        <v>0</v>
      </c>
      <c r="U106" s="2">
        <f t="shared" si="117"/>
        <v>105</v>
      </c>
      <c r="V106" s="2" t="str">
        <f t="shared" si="118"/>
        <v/>
      </c>
      <c r="W106" s="2">
        <f t="shared" si="119"/>
        <v>5</v>
      </c>
      <c r="X106" s="2" t="str">
        <f t="shared" si="120"/>
        <v/>
      </c>
      <c r="Y106" s="2" t="b">
        <f t="shared" si="121"/>
        <v>1</v>
      </c>
      <c r="Z106" s="2" t="b">
        <f t="shared" si="122"/>
        <v>0</v>
      </c>
      <c r="AA106" s="2" t="b">
        <f t="shared" si="123"/>
        <v>1</v>
      </c>
      <c r="AB106" s="2" t="b">
        <f t="shared" si="124"/>
        <v>0</v>
      </c>
      <c r="AC106" s="2" t="b">
        <f t="shared" si="125"/>
        <v>0</v>
      </c>
      <c r="AD106" s="2" t="b">
        <f t="shared" si="126"/>
        <v>0</v>
      </c>
      <c r="AF106" s="2">
        <f t="shared" si="127"/>
        <v>110</v>
      </c>
      <c r="AG106" s="2" t="b">
        <f t="shared" si="109"/>
        <v>0</v>
      </c>
      <c r="AH106" s="2" t="b">
        <f t="shared" si="110"/>
        <v>1</v>
      </c>
      <c r="AI106" s="2" t="str">
        <f t="shared" si="111"/>
        <v/>
      </c>
      <c r="AJ106" s="2">
        <f t="shared" si="112"/>
        <v>110</v>
      </c>
      <c r="AK106" s="2" t="b">
        <f t="shared" si="128"/>
        <v>0</v>
      </c>
      <c r="AL106" s="2" t="b">
        <f t="shared" si="129"/>
        <v>1</v>
      </c>
      <c r="AM106" s="2" t="b">
        <f t="shared" si="130"/>
        <v>0</v>
      </c>
      <c r="AN106" s="2" t="b">
        <f t="shared" si="131"/>
        <v>0</v>
      </c>
      <c r="AO106" s="2" t="str">
        <f t="shared" si="132"/>
        <v/>
      </c>
      <c r="AP106" s="2">
        <f t="shared" si="133"/>
        <v>105</v>
      </c>
      <c r="AQ106" s="2" t="str">
        <f t="shared" si="134"/>
        <v/>
      </c>
      <c r="AR106" s="2">
        <f t="shared" si="135"/>
        <v>5</v>
      </c>
      <c r="AS106" s="2" t="str">
        <f t="shared" si="136"/>
        <v/>
      </c>
      <c r="AT106" s="2">
        <f t="shared" si="137"/>
        <v>105</v>
      </c>
      <c r="AU106" s="2" t="str">
        <f t="shared" si="138"/>
        <v/>
      </c>
      <c r="AV106" s="2" t="str">
        <f t="shared" si="139"/>
        <v/>
      </c>
      <c r="AW106" s="2" t="str">
        <f t="shared" si="140"/>
        <v/>
      </c>
      <c r="AX106" s="2">
        <f t="shared" si="141"/>
        <v>5</v>
      </c>
      <c r="AY106" s="2" t="str">
        <f t="shared" si="142"/>
        <v/>
      </c>
      <c r="AZ106" s="2" t="str">
        <f t="shared" si="143"/>
        <v/>
      </c>
    </row>
    <row r="107" spans="2:52" hidden="1" outlineLevel="2" x14ac:dyDescent="0.25">
      <c r="B107" s="2">
        <v>106</v>
      </c>
      <c r="C107" s="2">
        <v>4</v>
      </c>
      <c r="E107" s="2" t="b">
        <f>ISPRIME(B107)</f>
        <v>0</v>
      </c>
      <c r="F107" s="2" t="b">
        <f>ISPRIME(C107)</f>
        <v>0</v>
      </c>
      <c r="G107" s="2" t="str">
        <f t="shared" si="103"/>
        <v/>
      </c>
      <c r="H107" s="2" t="str">
        <f t="shared" si="104"/>
        <v/>
      </c>
      <c r="K107" s="2" t="b">
        <f t="shared" si="105"/>
        <v>0</v>
      </c>
      <c r="L107" s="2" t="b">
        <f t="shared" si="106"/>
        <v>0</v>
      </c>
      <c r="M107" s="2" t="b">
        <f t="shared" si="107"/>
        <v>0</v>
      </c>
      <c r="N107" s="2" t="b">
        <f t="shared" si="108"/>
        <v>1</v>
      </c>
      <c r="Q107" s="2" t="b">
        <f t="shared" si="113"/>
        <v>0</v>
      </c>
      <c r="R107" s="2" t="b">
        <f t="shared" si="114"/>
        <v>1</v>
      </c>
      <c r="S107" s="2" t="b">
        <f t="shared" si="115"/>
        <v>0</v>
      </c>
      <c r="T107" s="2" t="b">
        <f t="shared" si="116"/>
        <v>1</v>
      </c>
      <c r="U107" s="2" t="str">
        <f t="shared" si="117"/>
        <v/>
      </c>
      <c r="V107" s="2">
        <f t="shared" si="118"/>
        <v>106</v>
      </c>
      <c r="W107" s="2" t="str">
        <f t="shared" si="119"/>
        <v/>
      </c>
      <c r="X107" s="2">
        <f t="shared" si="120"/>
        <v>4</v>
      </c>
      <c r="Y107" s="2" t="b">
        <f t="shared" si="121"/>
        <v>1</v>
      </c>
      <c r="Z107" s="2" t="b">
        <f t="shared" si="122"/>
        <v>0</v>
      </c>
      <c r="AA107" s="2" t="b">
        <f t="shared" si="123"/>
        <v>0</v>
      </c>
      <c r="AB107" s="2" t="b">
        <f t="shared" si="124"/>
        <v>0</v>
      </c>
      <c r="AC107" s="2" t="b">
        <f t="shared" si="125"/>
        <v>1</v>
      </c>
      <c r="AD107" s="2" t="b">
        <f t="shared" si="126"/>
        <v>0</v>
      </c>
      <c r="AF107" s="2">
        <f t="shared" si="127"/>
        <v>110</v>
      </c>
      <c r="AG107" s="2" t="b">
        <f t="shared" si="109"/>
        <v>0</v>
      </c>
      <c r="AH107" s="2" t="b">
        <f t="shared" si="110"/>
        <v>1</v>
      </c>
      <c r="AI107" s="2" t="str">
        <f t="shared" si="111"/>
        <v/>
      </c>
      <c r="AJ107" s="2">
        <f t="shared" si="112"/>
        <v>110</v>
      </c>
      <c r="AK107" s="2" t="b">
        <f t="shared" si="128"/>
        <v>0</v>
      </c>
      <c r="AL107" s="2" t="b">
        <f t="shared" si="129"/>
        <v>0</v>
      </c>
      <c r="AM107" s="2" t="b">
        <f t="shared" si="130"/>
        <v>0</v>
      </c>
      <c r="AN107" s="2" t="b">
        <f t="shared" si="131"/>
        <v>1</v>
      </c>
      <c r="AO107" s="2" t="str">
        <f t="shared" si="132"/>
        <v/>
      </c>
      <c r="AP107" s="2">
        <f t="shared" si="133"/>
        <v>106</v>
      </c>
      <c r="AQ107" s="2" t="str">
        <f t="shared" si="134"/>
        <v/>
      </c>
      <c r="AR107" s="2">
        <f t="shared" si="135"/>
        <v>4</v>
      </c>
      <c r="AS107" s="2" t="str">
        <f t="shared" si="136"/>
        <v/>
      </c>
      <c r="AT107" s="2" t="str">
        <f t="shared" si="137"/>
        <v/>
      </c>
      <c r="AU107" s="2" t="str">
        <f t="shared" si="138"/>
        <v/>
      </c>
      <c r="AV107" s="2">
        <f t="shared" si="139"/>
        <v>106</v>
      </c>
      <c r="AW107" s="2" t="str">
        <f t="shared" si="140"/>
        <v/>
      </c>
      <c r="AX107" s="2" t="str">
        <f t="shared" si="141"/>
        <v/>
      </c>
      <c r="AY107" s="2" t="str">
        <f t="shared" si="142"/>
        <v/>
      </c>
      <c r="AZ107" s="2">
        <f t="shared" si="143"/>
        <v>4</v>
      </c>
    </row>
    <row r="108" spans="2:52" hidden="1" outlineLevel="2" x14ac:dyDescent="0.25">
      <c r="B108" s="2">
        <v>107</v>
      </c>
      <c r="C108" s="2">
        <v>7</v>
      </c>
      <c r="E108" s="2" t="b">
        <f>ISPRIME(B108)</f>
        <v>1</v>
      </c>
      <c r="F108" s="2" t="b">
        <f>ISPRIME(C108)</f>
        <v>1</v>
      </c>
      <c r="G108" s="2">
        <f t="shared" si="103"/>
        <v>107</v>
      </c>
      <c r="H108" s="2">
        <f t="shared" si="104"/>
        <v>7</v>
      </c>
      <c r="K108" s="2" t="b">
        <f t="shared" si="105"/>
        <v>1</v>
      </c>
      <c r="L108" s="2" t="b">
        <f t="shared" si="106"/>
        <v>0</v>
      </c>
      <c r="M108" s="2" t="b">
        <f t="shared" si="107"/>
        <v>0</v>
      </c>
      <c r="N108" s="2" t="b">
        <f t="shared" si="108"/>
        <v>0</v>
      </c>
      <c r="Q108" s="2" t="b">
        <f t="shared" si="113"/>
        <v>1</v>
      </c>
      <c r="R108" s="2" t="b">
        <f t="shared" si="114"/>
        <v>0</v>
      </c>
      <c r="S108" s="2" t="b">
        <f t="shared" si="115"/>
        <v>1</v>
      </c>
      <c r="T108" s="2" t="b">
        <f t="shared" si="116"/>
        <v>0</v>
      </c>
      <c r="U108" s="2">
        <f t="shared" si="117"/>
        <v>107</v>
      </c>
      <c r="V108" s="2" t="str">
        <f t="shared" si="118"/>
        <v/>
      </c>
      <c r="W108" s="2">
        <f t="shared" si="119"/>
        <v>7</v>
      </c>
      <c r="X108" s="2" t="str">
        <f t="shared" si="120"/>
        <v/>
      </c>
      <c r="Y108" s="2" t="b">
        <f t="shared" si="121"/>
        <v>1</v>
      </c>
      <c r="Z108" s="2" t="b">
        <f t="shared" si="122"/>
        <v>0</v>
      </c>
      <c r="AA108" s="2" t="b">
        <f t="shared" si="123"/>
        <v>1</v>
      </c>
      <c r="AB108" s="2" t="b">
        <f t="shared" si="124"/>
        <v>0</v>
      </c>
      <c r="AC108" s="2" t="b">
        <f t="shared" si="125"/>
        <v>0</v>
      </c>
      <c r="AD108" s="2" t="b">
        <f t="shared" si="126"/>
        <v>0</v>
      </c>
      <c r="AF108" s="2">
        <f t="shared" si="127"/>
        <v>114</v>
      </c>
      <c r="AG108" s="2" t="b">
        <f t="shared" si="109"/>
        <v>0</v>
      </c>
      <c r="AH108" s="2" t="b">
        <f t="shared" si="110"/>
        <v>1</v>
      </c>
      <c r="AI108" s="2" t="str">
        <f t="shared" si="111"/>
        <v/>
      </c>
      <c r="AJ108" s="2">
        <f t="shared" si="112"/>
        <v>114</v>
      </c>
      <c r="AK108" s="2" t="b">
        <f t="shared" si="128"/>
        <v>0</v>
      </c>
      <c r="AL108" s="2" t="b">
        <f t="shared" si="129"/>
        <v>1</v>
      </c>
      <c r="AM108" s="2" t="b">
        <f t="shared" si="130"/>
        <v>0</v>
      </c>
      <c r="AN108" s="2" t="b">
        <f t="shared" si="131"/>
        <v>0</v>
      </c>
      <c r="AO108" s="2" t="str">
        <f t="shared" si="132"/>
        <v/>
      </c>
      <c r="AP108" s="2">
        <f t="shared" si="133"/>
        <v>107</v>
      </c>
      <c r="AQ108" s="2" t="str">
        <f t="shared" si="134"/>
        <v/>
      </c>
      <c r="AR108" s="2">
        <f t="shared" si="135"/>
        <v>7</v>
      </c>
      <c r="AS108" s="2" t="str">
        <f t="shared" si="136"/>
        <v/>
      </c>
      <c r="AT108" s="2">
        <f t="shared" si="137"/>
        <v>107</v>
      </c>
      <c r="AU108" s="2" t="str">
        <f t="shared" si="138"/>
        <v/>
      </c>
      <c r="AV108" s="2" t="str">
        <f t="shared" si="139"/>
        <v/>
      </c>
      <c r="AW108" s="2" t="str">
        <f t="shared" si="140"/>
        <v/>
      </c>
      <c r="AX108" s="2">
        <f t="shared" si="141"/>
        <v>7</v>
      </c>
      <c r="AY108" s="2" t="str">
        <f t="shared" si="142"/>
        <v/>
      </c>
      <c r="AZ108" s="2" t="str">
        <f t="shared" si="143"/>
        <v/>
      </c>
    </row>
    <row r="109" spans="2:52" hidden="1" outlineLevel="2" x14ac:dyDescent="0.25">
      <c r="B109" s="2">
        <v>108</v>
      </c>
      <c r="C109" s="2">
        <v>3</v>
      </c>
      <c r="E109" s="2" t="b">
        <f>ISPRIME(B109)</f>
        <v>0</v>
      </c>
      <c r="F109" s="2" t="b">
        <f>ISPRIME(C109)</f>
        <v>1</v>
      </c>
      <c r="G109" s="2" t="str">
        <f t="shared" si="103"/>
        <v/>
      </c>
      <c r="H109" s="2">
        <f t="shared" si="104"/>
        <v>3</v>
      </c>
      <c r="K109" s="2" t="b">
        <f t="shared" si="105"/>
        <v>0</v>
      </c>
      <c r="L109" s="2" t="b">
        <f t="shared" si="106"/>
        <v>0</v>
      </c>
      <c r="M109" s="2" t="b">
        <f t="shared" si="107"/>
        <v>1</v>
      </c>
      <c r="N109" s="2" t="b">
        <f t="shared" si="108"/>
        <v>0</v>
      </c>
      <c r="Q109" s="2" t="b">
        <f t="shared" si="113"/>
        <v>0</v>
      </c>
      <c r="R109" s="2" t="b">
        <f t="shared" si="114"/>
        <v>1</v>
      </c>
      <c r="S109" s="2" t="b">
        <f t="shared" si="115"/>
        <v>1</v>
      </c>
      <c r="T109" s="2" t="b">
        <f t="shared" si="116"/>
        <v>0</v>
      </c>
      <c r="U109" s="2" t="str">
        <f t="shared" si="117"/>
        <v/>
      </c>
      <c r="V109" s="2">
        <f t="shared" si="118"/>
        <v>108</v>
      </c>
      <c r="W109" s="2">
        <f t="shared" si="119"/>
        <v>3</v>
      </c>
      <c r="X109" s="2" t="str">
        <f t="shared" si="120"/>
        <v/>
      </c>
      <c r="Y109" s="2" t="b">
        <f t="shared" si="121"/>
        <v>0</v>
      </c>
      <c r="Z109" s="2" t="b">
        <f t="shared" si="122"/>
        <v>1</v>
      </c>
      <c r="AA109" s="2" t="b">
        <f t="shared" si="123"/>
        <v>0</v>
      </c>
      <c r="AB109" s="2" t="b">
        <f t="shared" si="124"/>
        <v>1</v>
      </c>
      <c r="AC109" s="2" t="b">
        <f t="shared" si="125"/>
        <v>0</v>
      </c>
      <c r="AD109" s="2" t="b">
        <f t="shared" si="126"/>
        <v>0</v>
      </c>
      <c r="AF109" s="2">
        <f t="shared" si="127"/>
        <v>111</v>
      </c>
      <c r="AG109" s="2" t="b">
        <f t="shared" si="109"/>
        <v>1</v>
      </c>
      <c r="AH109" s="2" t="b">
        <f t="shared" si="110"/>
        <v>0</v>
      </c>
      <c r="AI109" s="2">
        <f t="shared" si="111"/>
        <v>111</v>
      </c>
      <c r="AJ109" s="2" t="str">
        <f t="shared" si="112"/>
        <v/>
      </c>
      <c r="AK109" s="2" t="b">
        <f t="shared" si="128"/>
        <v>0</v>
      </c>
      <c r="AL109" s="2" t="b">
        <f t="shared" si="129"/>
        <v>0</v>
      </c>
      <c r="AM109" s="2" t="b">
        <f t="shared" si="130"/>
        <v>1</v>
      </c>
      <c r="AN109" s="2" t="b">
        <f t="shared" si="131"/>
        <v>0</v>
      </c>
      <c r="AO109" s="2">
        <f t="shared" si="132"/>
        <v>108</v>
      </c>
      <c r="AP109" s="2" t="str">
        <f t="shared" si="133"/>
        <v/>
      </c>
      <c r="AQ109" s="2">
        <f t="shared" si="134"/>
        <v>3</v>
      </c>
      <c r="AR109" s="2" t="str">
        <f t="shared" si="135"/>
        <v/>
      </c>
      <c r="AS109" s="2" t="str">
        <f t="shared" si="136"/>
        <v/>
      </c>
      <c r="AT109" s="2" t="str">
        <f t="shared" si="137"/>
        <v/>
      </c>
      <c r="AU109" s="2">
        <f t="shared" si="138"/>
        <v>108</v>
      </c>
      <c r="AV109" s="2" t="str">
        <f t="shared" si="139"/>
        <v/>
      </c>
      <c r="AW109" s="2">
        <f t="shared" si="140"/>
        <v>3</v>
      </c>
      <c r="AX109" s="2" t="str">
        <f t="shared" si="141"/>
        <v/>
      </c>
      <c r="AY109" s="2" t="str">
        <f t="shared" si="142"/>
        <v/>
      </c>
      <c r="AZ109" s="2" t="str">
        <f t="shared" si="143"/>
        <v/>
      </c>
    </row>
    <row r="110" spans="2:52" hidden="1" outlineLevel="2" x14ac:dyDescent="0.25">
      <c r="B110" s="2">
        <v>109</v>
      </c>
      <c r="C110" s="2">
        <v>6</v>
      </c>
      <c r="E110" s="2" t="b">
        <f>ISPRIME(B110)</f>
        <v>1</v>
      </c>
      <c r="F110" s="2" t="b">
        <f>ISPRIME(C110)</f>
        <v>0</v>
      </c>
      <c r="G110" s="2">
        <f t="shared" si="103"/>
        <v>109</v>
      </c>
      <c r="H110" s="2" t="str">
        <f t="shared" si="104"/>
        <v/>
      </c>
      <c r="K110" s="2" t="b">
        <f t="shared" si="105"/>
        <v>0</v>
      </c>
      <c r="L110" s="2" t="b">
        <f t="shared" si="106"/>
        <v>1</v>
      </c>
      <c r="M110" s="2" t="b">
        <f t="shared" si="107"/>
        <v>0</v>
      </c>
      <c r="N110" s="2" t="b">
        <f t="shared" si="108"/>
        <v>0</v>
      </c>
      <c r="Q110" s="2" t="b">
        <f t="shared" si="113"/>
        <v>1</v>
      </c>
      <c r="R110" s="2" t="b">
        <f t="shared" si="114"/>
        <v>0</v>
      </c>
      <c r="S110" s="2" t="b">
        <f t="shared" si="115"/>
        <v>0</v>
      </c>
      <c r="T110" s="2" t="b">
        <f t="shared" si="116"/>
        <v>1</v>
      </c>
      <c r="U110" s="2">
        <f t="shared" si="117"/>
        <v>109</v>
      </c>
      <c r="V110" s="2" t="str">
        <f t="shared" si="118"/>
        <v/>
      </c>
      <c r="W110" s="2" t="str">
        <f t="shared" si="119"/>
        <v/>
      </c>
      <c r="X110" s="2">
        <f t="shared" si="120"/>
        <v>6</v>
      </c>
      <c r="Y110" s="2" t="b">
        <f t="shared" si="121"/>
        <v>0</v>
      </c>
      <c r="Z110" s="2" t="b">
        <f t="shared" si="122"/>
        <v>1</v>
      </c>
      <c r="AA110" s="2" t="b">
        <f t="shared" si="123"/>
        <v>0</v>
      </c>
      <c r="AB110" s="2" t="b">
        <f t="shared" si="124"/>
        <v>0</v>
      </c>
      <c r="AC110" s="2" t="b">
        <f t="shared" si="125"/>
        <v>0</v>
      </c>
      <c r="AD110" s="2" t="b">
        <f t="shared" si="126"/>
        <v>1</v>
      </c>
      <c r="AF110" s="2">
        <f t="shared" si="127"/>
        <v>115</v>
      </c>
      <c r="AG110" s="2" t="b">
        <f t="shared" si="109"/>
        <v>1</v>
      </c>
      <c r="AH110" s="2" t="b">
        <f t="shared" si="110"/>
        <v>0</v>
      </c>
      <c r="AI110" s="2">
        <f t="shared" si="111"/>
        <v>115</v>
      </c>
      <c r="AJ110" s="2" t="str">
        <f t="shared" si="112"/>
        <v/>
      </c>
      <c r="AK110" s="2" t="b">
        <f t="shared" si="128"/>
        <v>1</v>
      </c>
      <c r="AL110" s="2" t="b">
        <f t="shared" si="129"/>
        <v>0</v>
      </c>
      <c r="AM110" s="2" t="b">
        <f t="shared" si="130"/>
        <v>0</v>
      </c>
      <c r="AN110" s="2" t="b">
        <f t="shared" si="131"/>
        <v>0</v>
      </c>
      <c r="AO110" s="2">
        <f t="shared" si="132"/>
        <v>109</v>
      </c>
      <c r="AP110" s="2" t="str">
        <f t="shared" si="133"/>
        <v/>
      </c>
      <c r="AQ110" s="2">
        <f t="shared" si="134"/>
        <v>6</v>
      </c>
      <c r="AR110" s="2" t="str">
        <f t="shared" si="135"/>
        <v/>
      </c>
      <c r="AS110" s="2">
        <f t="shared" si="136"/>
        <v>109</v>
      </c>
      <c r="AT110" s="2" t="str">
        <f t="shared" si="137"/>
        <v/>
      </c>
      <c r="AU110" s="2" t="str">
        <f t="shared" si="138"/>
        <v/>
      </c>
      <c r="AV110" s="2" t="str">
        <f t="shared" si="139"/>
        <v/>
      </c>
      <c r="AW110" s="2" t="str">
        <f t="shared" si="140"/>
        <v/>
      </c>
      <c r="AX110" s="2" t="str">
        <f t="shared" si="141"/>
        <v/>
      </c>
      <c r="AY110" s="2">
        <f t="shared" si="142"/>
        <v>6</v>
      </c>
      <c r="AZ110" s="2" t="str">
        <f t="shared" si="143"/>
        <v/>
      </c>
    </row>
    <row r="111" spans="2:52" hidden="1" outlineLevel="2" x14ac:dyDescent="0.25">
      <c r="B111" s="2">
        <v>110</v>
      </c>
      <c r="C111" s="2">
        <v>3</v>
      </c>
      <c r="E111" s="2" t="b">
        <f>ISPRIME(B111)</f>
        <v>0</v>
      </c>
      <c r="F111" s="2" t="b">
        <f>ISPRIME(C111)</f>
        <v>1</v>
      </c>
      <c r="G111" s="2" t="str">
        <f t="shared" si="103"/>
        <v/>
      </c>
      <c r="H111" s="2">
        <f t="shared" si="104"/>
        <v>3</v>
      </c>
      <c r="K111" s="2" t="b">
        <f t="shared" si="105"/>
        <v>0</v>
      </c>
      <c r="L111" s="2" t="b">
        <f t="shared" si="106"/>
        <v>0</v>
      </c>
      <c r="M111" s="2" t="b">
        <f t="shared" si="107"/>
        <v>1</v>
      </c>
      <c r="N111" s="2" t="b">
        <f t="shared" si="108"/>
        <v>0</v>
      </c>
      <c r="Q111" s="2" t="b">
        <f t="shared" si="113"/>
        <v>0</v>
      </c>
      <c r="R111" s="2" t="b">
        <f t="shared" si="114"/>
        <v>1</v>
      </c>
      <c r="S111" s="2" t="b">
        <f t="shared" si="115"/>
        <v>1</v>
      </c>
      <c r="T111" s="2" t="b">
        <f t="shared" si="116"/>
        <v>0</v>
      </c>
      <c r="U111" s="2" t="str">
        <f t="shared" si="117"/>
        <v/>
      </c>
      <c r="V111" s="2">
        <f t="shared" si="118"/>
        <v>110</v>
      </c>
      <c r="W111" s="2">
        <f t="shared" si="119"/>
        <v>3</v>
      </c>
      <c r="X111" s="2" t="str">
        <f t="shared" si="120"/>
        <v/>
      </c>
      <c r="Y111" s="2" t="b">
        <f t="shared" si="121"/>
        <v>0</v>
      </c>
      <c r="Z111" s="2" t="b">
        <f t="shared" si="122"/>
        <v>1</v>
      </c>
      <c r="AA111" s="2" t="b">
        <f t="shared" si="123"/>
        <v>0</v>
      </c>
      <c r="AB111" s="2" t="b">
        <f t="shared" si="124"/>
        <v>1</v>
      </c>
      <c r="AC111" s="2" t="b">
        <f t="shared" si="125"/>
        <v>0</v>
      </c>
      <c r="AD111" s="2" t="b">
        <f t="shared" si="126"/>
        <v>0</v>
      </c>
      <c r="AF111" s="2">
        <f t="shared" si="127"/>
        <v>113</v>
      </c>
      <c r="AG111" s="2" t="b">
        <f t="shared" si="109"/>
        <v>1</v>
      </c>
      <c r="AH111" s="2" t="b">
        <f t="shared" si="110"/>
        <v>0</v>
      </c>
      <c r="AI111" s="2">
        <f t="shared" si="111"/>
        <v>113</v>
      </c>
      <c r="AJ111" s="2" t="str">
        <f t="shared" si="112"/>
        <v/>
      </c>
      <c r="AK111" s="2" t="b">
        <f t="shared" si="128"/>
        <v>0</v>
      </c>
      <c r="AL111" s="2" t="b">
        <f t="shared" si="129"/>
        <v>0</v>
      </c>
      <c r="AM111" s="2" t="b">
        <f t="shared" si="130"/>
        <v>1</v>
      </c>
      <c r="AN111" s="2" t="b">
        <f t="shared" si="131"/>
        <v>0</v>
      </c>
      <c r="AO111" s="2">
        <f t="shared" si="132"/>
        <v>110</v>
      </c>
      <c r="AP111" s="2" t="str">
        <f t="shared" si="133"/>
        <v/>
      </c>
      <c r="AQ111" s="2">
        <f t="shared" si="134"/>
        <v>3</v>
      </c>
      <c r="AR111" s="2" t="str">
        <f t="shared" si="135"/>
        <v/>
      </c>
      <c r="AS111" s="2" t="str">
        <f t="shared" si="136"/>
        <v/>
      </c>
      <c r="AT111" s="2" t="str">
        <f t="shared" si="137"/>
        <v/>
      </c>
      <c r="AU111" s="2">
        <f t="shared" si="138"/>
        <v>110</v>
      </c>
      <c r="AV111" s="2" t="str">
        <f t="shared" si="139"/>
        <v/>
      </c>
      <c r="AW111" s="2">
        <f t="shared" si="140"/>
        <v>3</v>
      </c>
      <c r="AX111" s="2" t="str">
        <f t="shared" si="141"/>
        <v/>
      </c>
      <c r="AY111" s="2" t="str">
        <f t="shared" si="142"/>
        <v/>
      </c>
      <c r="AZ111" s="2" t="str">
        <f t="shared" si="143"/>
        <v/>
      </c>
    </row>
    <row r="112" spans="2:52" hidden="1" outlineLevel="2" x14ac:dyDescent="0.25">
      <c r="B112" s="2">
        <v>111</v>
      </c>
      <c r="C112" s="2">
        <v>5</v>
      </c>
      <c r="E112" s="2" t="b">
        <f>ISPRIME(B112)</f>
        <v>0</v>
      </c>
      <c r="F112" s="2" t="b">
        <f>ISPRIME(C112)</f>
        <v>1</v>
      </c>
      <c r="G112" s="2" t="str">
        <f t="shared" si="103"/>
        <v/>
      </c>
      <c r="H112" s="2">
        <f t="shared" si="104"/>
        <v>5</v>
      </c>
      <c r="K112" s="2" t="b">
        <f t="shared" si="105"/>
        <v>0</v>
      </c>
      <c r="L112" s="2" t="b">
        <f t="shared" si="106"/>
        <v>0</v>
      </c>
      <c r="M112" s="2" t="b">
        <f t="shared" si="107"/>
        <v>1</v>
      </c>
      <c r="N112" s="2" t="b">
        <f t="shared" si="108"/>
        <v>0</v>
      </c>
      <c r="Q112" s="2" t="b">
        <f t="shared" si="113"/>
        <v>1</v>
      </c>
      <c r="R112" s="2" t="b">
        <f t="shared" si="114"/>
        <v>0</v>
      </c>
      <c r="S112" s="2" t="b">
        <f t="shared" si="115"/>
        <v>1</v>
      </c>
      <c r="T112" s="2" t="b">
        <f t="shared" si="116"/>
        <v>0</v>
      </c>
      <c r="U112" s="2">
        <f t="shared" si="117"/>
        <v>111</v>
      </c>
      <c r="V112" s="2" t="str">
        <f t="shared" si="118"/>
        <v/>
      </c>
      <c r="W112" s="2">
        <f t="shared" si="119"/>
        <v>5</v>
      </c>
      <c r="X112" s="2" t="str">
        <f t="shared" si="120"/>
        <v/>
      </c>
      <c r="Y112" s="2" t="b">
        <f t="shared" si="121"/>
        <v>1</v>
      </c>
      <c r="Z112" s="2" t="b">
        <f t="shared" si="122"/>
        <v>0</v>
      </c>
      <c r="AA112" s="2" t="b">
        <f t="shared" si="123"/>
        <v>1</v>
      </c>
      <c r="AB112" s="2" t="b">
        <f t="shared" si="124"/>
        <v>0</v>
      </c>
      <c r="AC112" s="2" t="b">
        <f t="shared" si="125"/>
        <v>0</v>
      </c>
      <c r="AD112" s="2" t="b">
        <f t="shared" si="126"/>
        <v>0</v>
      </c>
      <c r="AF112" s="2">
        <f t="shared" si="127"/>
        <v>116</v>
      </c>
      <c r="AG112" s="2" t="b">
        <f t="shared" si="109"/>
        <v>0</v>
      </c>
      <c r="AH112" s="2" t="b">
        <f t="shared" si="110"/>
        <v>1</v>
      </c>
      <c r="AI112" s="2" t="str">
        <f t="shared" si="111"/>
        <v/>
      </c>
      <c r="AJ112" s="2">
        <f t="shared" si="112"/>
        <v>116</v>
      </c>
      <c r="AK112" s="2" t="b">
        <f t="shared" si="128"/>
        <v>0</v>
      </c>
      <c r="AL112" s="2" t="b">
        <f t="shared" si="129"/>
        <v>1</v>
      </c>
      <c r="AM112" s="2" t="b">
        <f t="shared" si="130"/>
        <v>0</v>
      </c>
      <c r="AN112" s="2" t="b">
        <f t="shared" si="131"/>
        <v>0</v>
      </c>
      <c r="AO112" s="2" t="str">
        <f t="shared" si="132"/>
        <v/>
      </c>
      <c r="AP112" s="2">
        <f t="shared" si="133"/>
        <v>111</v>
      </c>
      <c r="AQ112" s="2" t="str">
        <f t="shared" si="134"/>
        <v/>
      </c>
      <c r="AR112" s="2">
        <f t="shared" si="135"/>
        <v>5</v>
      </c>
      <c r="AS112" s="2" t="str">
        <f t="shared" si="136"/>
        <v/>
      </c>
      <c r="AT112" s="2">
        <f t="shared" si="137"/>
        <v>111</v>
      </c>
      <c r="AU112" s="2" t="str">
        <f t="shared" si="138"/>
        <v/>
      </c>
      <c r="AV112" s="2" t="str">
        <f t="shared" si="139"/>
        <v/>
      </c>
      <c r="AW112" s="2" t="str">
        <f t="shared" si="140"/>
        <v/>
      </c>
      <c r="AX112" s="2">
        <f t="shared" si="141"/>
        <v>5</v>
      </c>
      <c r="AY112" s="2" t="str">
        <f t="shared" si="142"/>
        <v/>
      </c>
      <c r="AZ112" s="2" t="str">
        <f t="shared" si="143"/>
        <v/>
      </c>
    </row>
    <row r="113" spans="1:52" hidden="1" outlineLevel="2" x14ac:dyDescent="0.25">
      <c r="B113" s="2">
        <v>112</v>
      </c>
      <c r="C113" s="2">
        <v>4</v>
      </c>
      <c r="E113" s="2" t="b">
        <f>ISPRIME(B113)</f>
        <v>0</v>
      </c>
      <c r="F113" s="2" t="b">
        <f>ISPRIME(C113)</f>
        <v>0</v>
      </c>
      <c r="G113" s="2" t="str">
        <f t="shared" si="103"/>
        <v/>
      </c>
      <c r="H113" s="2" t="str">
        <f t="shared" si="104"/>
        <v/>
      </c>
      <c r="K113" s="2" t="b">
        <f t="shared" si="105"/>
        <v>0</v>
      </c>
      <c r="L113" s="2" t="b">
        <f t="shared" si="106"/>
        <v>0</v>
      </c>
      <c r="M113" s="2" t="b">
        <f t="shared" si="107"/>
        <v>0</v>
      </c>
      <c r="N113" s="2" t="b">
        <f t="shared" si="108"/>
        <v>1</v>
      </c>
      <c r="Q113" s="2" t="b">
        <f t="shared" si="113"/>
        <v>0</v>
      </c>
      <c r="R113" s="2" t="b">
        <f t="shared" si="114"/>
        <v>1</v>
      </c>
      <c r="S113" s="2" t="b">
        <f t="shared" si="115"/>
        <v>0</v>
      </c>
      <c r="T113" s="2" t="b">
        <f t="shared" si="116"/>
        <v>1</v>
      </c>
      <c r="U113" s="2" t="str">
        <f t="shared" si="117"/>
        <v/>
      </c>
      <c r="V113" s="2">
        <f t="shared" si="118"/>
        <v>112</v>
      </c>
      <c r="W113" s="2" t="str">
        <f t="shared" si="119"/>
        <v/>
      </c>
      <c r="X113" s="2">
        <f t="shared" si="120"/>
        <v>4</v>
      </c>
      <c r="Y113" s="2" t="b">
        <f t="shared" si="121"/>
        <v>1</v>
      </c>
      <c r="Z113" s="2" t="b">
        <f t="shared" si="122"/>
        <v>0</v>
      </c>
      <c r="AA113" s="2" t="b">
        <f t="shared" si="123"/>
        <v>0</v>
      </c>
      <c r="AB113" s="2" t="b">
        <f t="shared" si="124"/>
        <v>0</v>
      </c>
      <c r="AC113" s="2" t="b">
        <f t="shared" si="125"/>
        <v>1</v>
      </c>
      <c r="AD113" s="2" t="b">
        <f t="shared" si="126"/>
        <v>0</v>
      </c>
      <c r="AF113" s="2">
        <f t="shared" si="127"/>
        <v>116</v>
      </c>
      <c r="AG113" s="2" t="b">
        <f t="shared" si="109"/>
        <v>0</v>
      </c>
      <c r="AH113" s="2" t="b">
        <f t="shared" si="110"/>
        <v>1</v>
      </c>
      <c r="AI113" s="2" t="str">
        <f t="shared" si="111"/>
        <v/>
      </c>
      <c r="AJ113" s="2">
        <f t="shared" si="112"/>
        <v>116</v>
      </c>
      <c r="AK113" s="2" t="b">
        <f t="shared" si="128"/>
        <v>0</v>
      </c>
      <c r="AL113" s="2" t="b">
        <f t="shared" si="129"/>
        <v>0</v>
      </c>
      <c r="AM113" s="2" t="b">
        <f t="shared" si="130"/>
        <v>0</v>
      </c>
      <c r="AN113" s="2" t="b">
        <f t="shared" si="131"/>
        <v>1</v>
      </c>
      <c r="AO113" s="2" t="str">
        <f t="shared" si="132"/>
        <v/>
      </c>
      <c r="AP113" s="2">
        <f t="shared" si="133"/>
        <v>112</v>
      </c>
      <c r="AQ113" s="2" t="str">
        <f t="shared" si="134"/>
        <v/>
      </c>
      <c r="AR113" s="2">
        <f t="shared" si="135"/>
        <v>4</v>
      </c>
      <c r="AS113" s="2" t="str">
        <f t="shared" si="136"/>
        <v/>
      </c>
      <c r="AT113" s="2" t="str">
        <f t="shared" si="137"/>
        <v/>
      </c>
      <c r="AU113" s="2" t="str">
        <f t="shared" si="138"/>
        <v/>
      </c>
      <c r="AV113" s="2">
        <f t="shared" si="139"/>
        <v>112</v>
      </c>
      <c r="AW113" s="2" t="str">
        <f t="shared" si="140"/>
        <v/>
      </c>
      <c r="AX113" s="2" t="str">
        <f t="shared" si="141"/>
        <v/>
      </c>
      <c r="AY113" s="2" t="str">
        <f t="shared" si="142"/>
        <v/>
      </c>
      <c r="AZ113" s="2">
        <f t="shared" si="143"/>
        <v>4</v>
      </c>
    </row>
    <row r="114" spans="1:52" hidden="1" outlineLevel="2" x14ac:dyDescent="0.25">
      <c r="B114" s="2">
        <v>113</v>
      </c>
      <c r="C114" s="2">
        <v>5</v>
      </c>
      <c r="E114" s="2" t="b">
        <f>ISPRIME(B114)</f>
        <v>1</v>
      </c>
      <c r="F114" s="2" t="b">
        <f>ISPRIME(C114)</f>
        <v>1</v>
      </c>
      <c r="G114" s="2">
        <f t="shared" si="103"/>
        <v>113</v>
      </c>
      <c r="H114" s="2">
        <f t="shared" si="104"/>
        <v>5</v>
      </c>
      <c r="K114" s="2" t="b">
        <f t="shared" si="105"/>
        <v>1</v>
      </c>
      <c r="L114" s="2" t="b">
        <f t="shared" si="106"/>
        <v>0</v>
      </c>
      <c r="M114" s="2" t="b">
        <f t="shared" si="107"/>
        <v>0</v>
      </c>
      <c r="N114" s="2" t="b">
        <f t="shared" si="108"/>
        <v>0</v>
      </c>
      <c r="Q114" s="2" t="b">
        <f t="shared" si="113"/>
        <v>1</v>
      </c>
      <c r="R114" s="2" t="b">
        <f t="shared" si="114"/>
        <v>0</v>
      </c>
      <c r="S114" s="2" t="b">
        <f t="shared" si="115"/>
        <v>1</v>
      </c>
      <c r="T114" s="2" t="b">
        <f t="shared" si="116"/>
        <v>0</v>
      </c>
      <c r="U114" s="2">
        <f t="shared" si="117"/>
        <v>113</v>
      </c>
      <c r="V114" s="2" t="str">
        <f t="shared" si="118"/>
        <v/>
      </c>
      <c r="W114" s="2">
        <f t="shared" si="119"/>
        <v>5</v>
      </c>
      <c r="X114" s="2" t="str">
        <f t="shared" si="120"/>
        <v/>
      </c>
      <c r="Y114" s="2" t="b">
        <f t="shared" si="121"/>
        <v>1</v>
      </c>
      <c r="Z114" s="2" t="b">
        <f t="shared" si="122"/>
        <v>0</v>
      </c>
      <c r="AA114" s="2" t="b">
        <f t="shared" si="123"/>
        <v>1</v>
      </c>
      <c r="AB114" s="2" t="b">
        <f t="shared" si="124"/>
        <v>0</v>
      </c>
      <c r="AC114" s="2" t="b">
        <f t="shared" si="125"/>
        <v>0</v>
      </c>
      <c r="AD114" s="2" t="b">
        <f t="shared" si="126"/>
        <v>0</v>
      </c>
      <c r="AF114" s="2">
        <f t="shared" si="127"/>
        <v>118</v>
      </c>
      <c r="AG114" s="2" t="b">
        <f t="shared" si="109"/>
        <v>0</v>
      </c>
      <c r="AH114" s="2" t="b">
        <f t="shared" si="110"/>
        <v>1</v>
      </c>
      <c r="AI114" s="2" t="str">
        <f t="shared" si="111"/>
        <v/>
      </c>
      <c r="AJ114" s="2">
        <f t="shared" si="112"/>
        <v>118</v>
      </c>
      <c r="AK114" s="2" t="b">
        <f t="shared" si="128"/>
        <v>0</v>
      </c>
      <c r="AL114" s="2" t="b">
        <f t="shared" si="129"/>
        <v>1</v>
      </c>
      <c r="AM114" s="2" t="b">
        <f t="shared" si="130"/>
        <v>0</v>
      </c>
      <c r="AN114" s="2" t="b">
        <f t="shared" si="131"/>
        <v>0</v>
      </c>
      <c r="AO114" s="2" t="str">
        <f t="shared" si="132"/>
        <v/>
      </c>
      <c r="AP114" s="2">
        <f t="shared" si="133"/>
        <v>113</v>
      </c>
      <c r="AQ114" s="2" t="str">
        <f t="shared" si="134"/>
        <v/>
      </c>
      <c r="AR114" s="2">
        <f t="shared" si="135"/>
        <v>5</v>
      </c>
      <c r="AS114" s="2" t="str">
        <f t="shared" si="136"/>
        <v/>
      </c>
      <c r="AT114" s="2">
        <f t="shared" si="137"/>
        <v>113</v>
      </c>
      <c r="AU114" s="2" t="str">
        <f t="shared" si="138"/>
        <v/>
      </c>
      <c r="AV114" s="2" t="str">
        <f t="shared" si="139"/>
        <v/>
      </c>
      <c r="AW114" s="2" t="str">
        <f t="shared" si="140"/>
        <v/>
      </c>
      <c r="AX114" s="2">
        <f t="shared" si="141"/>
        <v>5</v>
      </c>
      <c r="AY114" s="2" t="str">
        <f t="shared" si="142"/>
        <v/>
      </c>
      <c r="AZ114" s="2" t="str">
        <f t="shared" si="143"/>
        <v/>
      </c>
    </row>
    <row r="115" spans="1:52" outlineLevel="1" collapsed="1" x14ac:dyDescent="0.25">
      <c r="B115" s="2">
        <v>114</v>
      </c>
      <c r="C115" s="2">
        <v>6</v>
      </c>
      <c r="E115" s="2" t="b">
        <f>ISPRIME(B115)</f>
        <v>0</v>
      </c>
      <c r="F115" s="2" t="b">
        <f>ISPRIME(C115)</f>
        <v>0</v>
      </c>
      <c r="G115" s="2" t="str">
        <f t="shared" si="103"/>
        <v/>
      </c>
      <c r="H115" s="2" t="str">
        <f t="shared" si="104"/>
        <v/>
      </c>
      <c r="K115" s="2" t="b">
        <f t="shared" si="105"/>
        <v>0</v>
      </c>
      <c r="L115" s="2" t="b">
        <f t="shared" si="106"/>
        <v>0</v>
      </c>
      <c r="M115" s="2" t="b">
        <f t="shared" si="107"/>
        <v>0</v>
      </c>
      <c r="N115" s="2" t="b">
        <f t="shared" si="108"/>
        <v>1</v>
      </c>
      <c r="Q115" s="2" t="b">
        <f t="shared" si="113"/>
        <v>0</v>
      </c>
      <c r="R115" s="2" t="b">
        <f t="shared" si="114"/>
        <v>1</v>
      </c>
      <c r="S115" s="2" t="b">
        <f t="shared" si="115"/>
        <v>0</v>
      </c>
      <c r="T115" s="2" t="b">
        <f t="shared" si="116"/>
        <v>1</v>
      </c>
      <c r="U115" s="2" t="str">
        <f t="shared" si="117"/>
        <v/>
      </c>
      <c r="V115" s="2">
        <f t="shared" si="118"/>
        <v>114</v>
      </c>
      <c r="W115" s="2" t="str">
        <f t="shared" si="119"/>
        <v/>
      </c>
      <c r="X115" s="2">
        <f t="shared" si="120"/>
        <v>6</v>
      </c>
      <c r="Y115" s="2" t="b">
        <f t="shared" si="121"/>
        <v>1</v>
      </c>
      <c r="Z115" s="2" t="b">
        <f t="shared" si="122"/>
        <v>0</v>
      </c>
      <c r="AA115" s="2" t="b">
        <f t="shared" si="123"/>
        <v>0</v>
      </c>
      <c r="AB115" s="2" t="b">
        <f t="shared" si="124"/>
        <v>0</v>
      </c>
      <c r="AC115" s="2" t="b">
        <f t="shared" si="125"/>
        <v>1</v>
      </c>
      <c r="AD115" s="2" t="b">
        <f t="shared" si="126"/>
        <v>0</v>
      </c>
      <c r="AF115" s="2">
        <f t="shared" si="127"/>
        <v>120</v>
      </c>
      <c r="AG115" s="2" t="b">
        <f t="shared" si="109"/>
        <v>0</v>
      </c>
      <c r="AH115" s="2" t="b">
        <f t="shared" si="110"/>
        <v>1</v>
      </c>
      <c r="AI115" s="2" t="str">
        <f t="shared" si="111"/>
        <v/>
      </c>
      <c r="AJ115" s="2">
        <f t="shared" si="112"/>
        <v>120</v>
      </c>
      <c r="AK115" s="2" t="b">
        <f t="shared" si="128"/>
        <v>0</v>
      </c>
      <c r="AL115" s="2" t="b">
        <f t="shared" si="129"/>
        <v>0</v>
      </c>
      <c r="AM115" s="2" t="b">
        <f t="shared" si="130"/>
        <v>0</v>
      </c>
      <c r="AN115" s="2" t="b">
        <f t="shared" si="131"/>
        <v>1</v>
      </c>
      <c r="AO115" s="2" t="str">
        <f t="shared" si="132"/>
        <v/>
      </c>
      <c r="AP115" s="2">
        <f t="shared" si="133"/>
        <v>114</v>
      </c>
      <c r="AQ115" s="2" t="str">
        <f t="shared" si="134"/>
        <v/>
      </c>
      <c r="AR115" s="2">
        <f t="shared" si="135"/>
        <v>6</v>
      </c>
      <c r="AS115" s="2" t="str">
        <f t="shared" si="136"/>
        <v/>
      </c>
      <c r="AT115" s="2" t="str">
        <f t="shared" si="137"/>
        <v/>
      </c>
      <c r="AU115" s="2" t="str">
        <f t="shared" si="138"/>
        <v/>
      </c>
      <c r="AV115" s="2">
        <f t="shared" si="139"/>
        <v>114</v>
      </c>
      <c r="AW115" s="2" t="str">
        <f t="shared" si="140"/>
        <v/>
      </c>
      <c r="AX115" s="2" t="str">
        <f t="shared" si="141"/>
        <v/>
      </c>
      <c r="AY115" s="2" t="str">
        <f t="shared" si="142"/>
        <v/>
      </c>
      <c r="AZ115" s="2">
        <f t="shared" si="143"/>
        <v>6</v>
      </c>
    </row>
    <row r="116" spans="1:52" s="1" customFormat="1" x14ac:dyDescent="0.25">
      <c r="A116" s="1" t="s">
        <v>49</v>
      </c>
      <c r="B116" s="1">
        <f>SUM(B2:B115)</f>
        <v>6555</v>
      </c>
      <c r="C116" s="1">
        <f>SUM(C2:C115)</f>
        <v>6236</v>
      </c>
      <c r="E116" s="1">
        <f>COUNTIF(E2:E115, TRUE)</f>
        <v>30</v>
      </c>
      <c r="F116" s="1">
        <f>COUNTIF(F2:F115, TRUE)</f>
        <v>32</v>
      </c>
      <c r="G116" s="1">
        <f>SUM(G2:G115)</f>
        <v>1593</v>
      </c>
      <c r="H116" s="1">
        <f>SUM(H2:H115)</f>
        <v>1076</v>
      </c>
      <c r="K116" s="1">
        <f>COUNTIF(K2:K115, TRUE)</f>
        <v>7</v>
      </c>
      <c r="L116" s="1">
        <f>COUNTIF(L2:L115, TRUE)</f>
        <v>23</v>
      </c>
      <c r="M116" s="1">
        <f>COUNTIF(M2:M115, TRUE)</f>
        <v>25</v>
      </c>
      <c r="N116" s="1">
        <f>COUNTIF(N2:N115, TRUE)</f>
        <v>59</v>
      </c>
      <c r="Q116" s="1">
        <f>COUNTIF(Q2:Q115, TRUE)</f>
        <v>57</v>
      </c>
      <c r="R116" s="1">
        <f>COUNTIF(R2:R115, TRUE)</f>
        <v>57</v>
      </c>
      <c r="S116" s="1">
        <f>COUNTIF(S2:S115, TRUE)</f>
        <v>54</v>
      </c>
      <c r="T116" s="1">
        <f>COUNTIF(T2:T115, TRUE)</f>
        <v>60</v>
      </c>
      <c r="U116" s="1">
        <f>SUM(U2:U115)</f>
        <v>3249</v>
      </c>
      <c r="V116" s="1">
        <f>SUM(V2:V115)</f>
        <v>3306</v>
      </c>
      <c r="W116" s="1">
        <f>SUM(W2:W115)</f>
        <v>2722</v>
      </c>
      <c r="X116" s="1">
        <f>SUM(X2:X115)</f>
        <v>3514</v>
      </c>
      <c r="Y116" s="1">
        <f t="shared" ref="Y116:AD116" si="144">COUNTIF(Y2:Y115, TRUE)</f>
        <v>57</v>
      </c>
      <c r="Z116" s="1">
        <f t="shared" si="144"/>
        <v>57</v>
      </c>
      <c r="AA116" s="1">
        <f t="shared" si="144"/>
        <v>27</v>
      </c>
      <c r="AB116" s="1">
        <f t="shared" si="144"/>
        <v>27</v>
      </c>
      <c r="AC116" s="1">
        <f t="shared" si="144"/>
        <v>30</v>
      </c>
      <c r="AD116" s="1">
        <f t="shared" si="144"/>
        <v>30</v>
      </c>
      <c r="AF116" s="1">
        <f>SUM(AF2:AF115)</f>
        <v>12791</v>
      </c>
      <c r="AG116" s="1">
        <f>COUNTIF(AG2:AG115, TRUE)</f>
        <v>57</v>
      </c>
      <c r="AH116" s="1">
        <f>COUNTIF(AH2:AH115, TRUE)</f>
        <v>57</v>
      </c>
      <c r="AI116" s="1">
        <f>SUM(AI2:AI115)</f>
        <v>6555</v>
      </c>
      <c r="AJ116" s="1">
        <f>SUM(AJ2:AJ115)</f>
        <v>6236</v>
      </c>
      <c r="AK116" s="1">
        <f>COUNTIF(AK2:AK115, TRUE)</f>
        <v>30</v>
      </c>
      <c r="AL116" s="1">
        <f>COUNTIF(AL2:AL115, TRUE)</f>
        <v>27</v>
      </c>
      <c r="AM116" s="1">
        <f>COUNTIF(AM2:AM115, TRUE)</f>
        <v>27</v>
      </c>
      <c r="AN116" s="1">
        <f>COUNTIF(AN2:AN115, TRUE)</f>
        <v>30</v>
      </c>
      <c r="AO116" s="1">
        <f>SUM(AO2:AO115)</f>
        <v>3252</v>
      </c>
      <c r="AP116" s="1">
        <f>SUM(AP2:AP115)</f>
        <v>3303</v>
      </c>
      <c r="AQ116" s="1">
        <f>SUM(AQ2:AQ115)</f>
        <v>3303</v>
      </c>
      <c r="AR116" s="1">
        <f>SUM(AR2:AR115)</f>
        <v>2933</v>
      </c>
      <c r="AS116" s="1">
        <f t="shared" ref="AS116:AZ116" si="145">SUM(AS2:AS115)</f>
        <v>1698</v>
      </c>
      <c r="AT116" s="1">
        <f t="shared" si="145"/>
        <v>1551</v>
      </c>
      <c r="AU116" s="1">
        <f t="shared" si="145"/>
        <v>1554</v>
      </c>
      <c r="AV116" s="1">
        <f t="shared" si="145"/>
        <v>1752</v>
      </c>
      <c r="AW116" s="1">
        <f t="shared" si="145"/>
        <v>1497</v>
      </c>
      <c r="AX116" s="1">
        <f t="shared" si="145"/>
        <v>1225</v>
      </c>
      <c r="AY116" s="1">
        <f t="shared" si="145"/>
        <v>1806</v>
      </c>
      <c r="AZ116" s="1">
        <f t="shared" si="145"/>
        <v>1708</v>
      </c>
    </row>
    <row r="118" spans="1:52" outlineLevel="1" x14ac:dyDescent="0.25">
      <c r="A118" s="1" t="s">
        <v>38</v>
      </c>
      <c r="B118" s="2">
        <f>IF(OR(ISBLANK(B1), COUNTIF(B2:B115, TRUE) &lt;&gt; 0, COUNTIF(B2:B115, FALSE) &lt;&gt; 0), "", AVERAGE(B2:B115))</f>
        <v>57.5</v>
      </c>
      <c r="C118" s="2">
        <f t="shared" ref="C118:H118" si="146">IF(OR(ISBLANK(C1), COUNTIF(C2:C115, TRUE) &lt;&gt; 0, COUNTIF(C2:C115, FALSE) &lt;&gt; 0), "", AVERAGE(C2:C115))</f>
        <v>54.701754385964911</v>
      </c>
      <c r="D118" s="2" t="str">
        <f t="shared" si="146"/>
        <v/>
      </c>
      <c r="E118" s="2" t="str">
        <f t="shared" si="146"/>
        <v/>
      </c>
      <c r="F118" s="2" t="str">
        <f t="shared" si="146"/>
        <v/>
      </c>
      <c r="G118" s="2">
        <f t="shared" si="146"/>
        <v>53.1</v>
      </c>
      <c r="H118" s="2">
        <f t="shared" si="146"/>
        <v>33.625</v>
      </c>
      <c r="P118" s="2" t="str">
        <f t="shared" ref="C118:AZ118" si="147">IF(OR(ISBLANK(P1), COUNTIF(P2:P115, TRUE) &lt;&gt; 0, COUNTIF(P2:P115, FALSE) &lt;&gt;0), "", AVERAGE(P2:P115))</f>
        <v/>
      </c>
      <c r="Q118" s="2" t="str">
        <f t="shared" si="147"/>
        <v/>
      </c>
      <c r="R118" s="2" t="str">
        <f t="shared" si="147"/>
        <v/>
      </c>
      <c r="S118" s="2" t="str">
        <f t="shared" si="147"/>
        <v/>
      </c>
      <c r="T118" s="2" t="str">
        <f t="shared" si="147"/>
        <v/>
      </c>
      <c r="U118" s="2">
        <f t="shared" si="147"/>
        <v>57</v>
      </c>
      <c r="V118" s="2">
        <f t="shared" si="147"/>
        <v>58</v>
      </c>
      <c r="W118" s="2">
        <f t="shared" si="147"/>
        <v>50.407407407407405</v>
      </c>
      <c r="X118" s="2">
        <f t="shared" si="147"/>
        <v>58.56666666666667</v>
      </c>
      <c r="Y118" s="2" t="str">
        <f t="shared" si="147"/>
        <v/>
      </c>
      <c r="Z118" s="2" t="str">
        <f t="shared" si="147"/>
        <v/>
      </c>
      <c r="AA118" s="2" t="str">
        <f t="shared" si="147"/>
        <v/>
      </c>
      <c r="AB118" s="2" t="str">
        <f t="shared" si="147"/>
        <v/>
      </c>
      <c r="AC118" s="2" t="str">
        <f t="shared" si="147"/>
        <v/>
      </c>
      <c r="AD118" s="2" t="str">
        <f t="shared" si="147"/>
        <v/>
      </c>
      <c r="AE118" s="2" t="str">
        <f t="shared" si="147"/>
        <v/>
      </c>
      <c r="AF118" s="2">
        <f t="shared" si="147"/>
        <v>112.20175438596492</v>
      </c>
      <c r="AG118" s="2" t="str">
        <f t="shared" si="147"/>
        <v/>
      </c>
      <c r="AH118" s="2" t="str">
        <f t="shared" si="147"/>
        <v/>
      </c>
      <c r="AI118" s="2">
        <f t="shared" si="147"/>
        <v>115</v>
      </c>
      <c r="AJ118" s="2">
        <f t="shared" si="147"/>
        <v>109.40350877192982</v>
      </c>
      <c r="AK118" s="2" t="str">
        <f t="shared" si="147"/>
        <v/>
      </c>
      <c r="AL118" s="2" t="str">
        <f t="shared" si="147"/>
        <v/>
      </c>
      <c r="AM118" s="2" t="str">
        <f t="shared" si="147"/>
        <v/>
      </c>
      <c r="AN118" s="2" t="str">
        <f t="shared" si="147"/>
        <v/>
      </c>
      <c r="AO118" s="2">
        <f t="shared" si="147"/>
        <v>57.05263157894737</v>
      </c>
      <c r="AP118" s="2">
        <f t="shared" si="147"/>
        <v>57.94736842105263</v>
      </c>
      <c r="AQ118" s="2">
        <f t="shared" si="147"/>
        <v>57.94736842105263</v>
      </c>
      <c r="AR118" s="2">
        <f t="shared" si="147"/>
        <v>51.456140350877192</v>
      </c>
      <c r="AS118" s="2">
        <f t="shared" si="147"/>
        <v>56.6</v>
      </c>
      <c r="AT118" s="2">
        <f t="shared" si="147"/>
        <v>57.444444444444443</v>
      </c>
      <c r="AU118" s="2">
        <f t="shared" si="147"/>
        <v>57.555555555555557</v>
      </c>
      <c r="AV118" s="2">
        <f t="shared" si="147"/>
        <v>58.4</v>
      </c>
      <c r="AW118" s="2">
        <f t="shared" si="147"/>
        <v>55.444444444444443</v>
      </c>
      <c r="AX118" s="2">
        <f t="shared" si="147"/>
        <v>45.370370370370374</v>
      </c>
      <c r="AY118" s="2">
        <f t="shared" si="147"/>
        <v>60.2</v>
      </c>
      <c r="AZ118" s="2">
        <f t="shared" si="147"/>
        <v>56.93333333333333</v>
      </c>
    </row>
    <row r="119" spans="1:52" outlineLevel="1" x14ac:dyDescent="0.25">
      <c r="A119" s="1" t="s">
        <v>48</v>
      </c>
      <c r="B119" s="2">
        <f>IF(OR(ISBLANK(B1), COUNTIF(B2:B115, TRUE) &lt;&gt; 0, COUNTIF(B2:B115, FALSE) &lt;&gt; 0), "", GEOMEAN(B2:B115))</f>
        <v>43.16536877996495</v>
      </c>
      <c r="C119" s="2">
        <f t="shared" ref="C119:H119" si="148">IF(OR(ISBLANK(C1), COUNTIF(C2:C115, TRUE) &lt;&gt; 0, COUNTIF(C2:C115, FALSE) &lt;&gt; 0), "", GEOMEAN(C2:C115))</f>
        <v>33.081152254322028</v>
      </c>
      <c r="D119" s="2" t="str">
        <f t="shared" si="148"/>
        <v/>
      </c>
      <c r="E119" s="2" t="str">
        <f t="shared" si="148"/>
        <v/>
      </c>
      <c r="F119" s="2" t="str">
        <f t="shared" si="148"/>
        <v/>
      </c>
      <c r="G119" s="2">
        <f t="shared" si="148"/>
        <v>35.480863021636374</v>
      </c>
      <c r="H119" s="2">
        <f t="shared" si="148"/>
        <v>17.790029554662933</v>
      </c>
      <c r="P119" s="2" t="str">
        <f t="shared" ref="C119:AZ119" si="149">IF(OR(ISBLANK(P1), COUNTIF(P2:P115, TRUE) &lt;&gt; 0, COUNTIF(P2:P115, FALSE) &lt;&gt; 0), "", GEOMEAN(P2:P115))</f>
        <v/>
      </c>
      <c r="Q119" s="2" t="str">
        <f t="shared" si="149"/>
        <v/>
      </c>
      <c r="R119" s="2" t="str">
        <f t="shared" si="149"/>
        <v/>
      </c>
      <c r="S119" s="2" t="str">
        <f t="shared" si="149"/>
        <v/>
      </c>
      <c r="T119" s="2" t="str">
        <f t="shared" si="149"/>
        <v/>
      </c>
      <c r="U119" s="2">
        <f t="shared" si="149"/>
        <v>42.193486576120435</v>
      </c>
      <c r="V119" s="2">
        <f t="shared" si="149"/>
        <v>44.159637259388887</v>
      </c>
      <c r="W119" s="2">
        <f t="shared" si="149"/>
        <v>29.218037459952946</v>
      </c>
      <c r="X119" s="2">
        <f t="shared" si="149"/>
        <v>36.992804390672283</v>
      </c>
      <c r="Y119" s="2" t="str">
        <f t="shared" si="149"/>
        <v/>
      </c>
      <c r="Z119" s="2" t="str">
        <f t="shared" si="149"/>
        <v/>
      </c>
      <c r="AA119" s="2" t="str">
        <f t="shared" si="149"/>
        <v/>
      </c>
      <c r="AB119" s="2" t="str">
        <f t="shared" si="149"/>
        <v/>
      </c>
      <c r="AC119" s="2" t="str">
        <f t="shared" si="149"/>
        <v/>
      </c>
      <c r="AD119" s="2" t="str">
        <f t="shared" si="149"/>
        <v/>
      </c>
      <c r="AE119" s="2" t="str">
        <f t="shared" si="149"/>
        <v/>
      </c>
      <c r="AF119" s="2">
        <f t="shared" si="149"/>
        <v>106.52353158447016</v>
      </c>
      <c r="AG119" s="2" t="str">
        <f t="shared" si="149"/>
        <v/>
      </c>
      <c r="AH119" s="2" t="str">
        <f t="shared" si="149"/>
        <v/>
      </c>
      <c r="AI119" s="2">
        <f t="shared" si="149"/>
        <v>110.44462001400075</v>
      </c>
      <c r="AJ119" s="2">
        <f t="shared" si="149"/>
        <v>102.74165260190267</v>
      </c>
      <c r="AK119" s="2" t="str">
        <f t="shared" si="149"/>
        <v/>
      </c>
      <c r="AL119" s="2" t="str">
        <f t="shared" si="149"/>
        <v/>
      </c>
      <c r="AM119" s="2" t="str">
        <f t="shared" si="149"/>
        <v/>
      </c>
      <c r="AN119" s="2" t="str">
        <f t="shared" si="149"/>
        <v/>
      </c>
      <c r="AO119" s="2">
        <f t="shared" si="149"/>
        <v>44.689846361322793</v>
      </c>
      <c r="AP119" s="2">
        <f t="shared" si="149"/>
        <v>41.692894776271544</v>
      </c>
      <c r="AQ119" s="2">
        <f t="shared" si="149"/>
        <v>36.868033238874631</v>
      </c>
      <c r="AR119" s="2">
        <f t="shared" si="149"/>
        <v>29.683238793430146</v>
      </c>
      <c r="AS119" s="2">
        <f t="shared" si="149"/>
        <v>44.351303615657997</v>
      </c>
      <c r="AT119" s="2">
        <f t="shared" si="149"/>
        <v>39.918817076500368</v>
      </c>
      <c r="AU119" s="2">
        <f t="shared" si="149"/>
        <v>45.069036636569592</v>
      </c>
      <c r="AV119" s="2">
        <f t="shared" si="149"/>
        <v>43.356877499380225</v>
      </c>
      <c r="AW119" s="2">
        <f t="shared" si="149"/>
        <v>33.568629232654089</v>
      </c>
      <c r="AX119" s="2">
        <f t="shared" si="149"/>
        <v>25.431295007446348</v>
      </c>
      <c r="AY119" s="2">
        <f t="shared" si="149"/>
        <v>40.11388241439375</v>
      </c>
      <c r="AZ119" s="2">
        <f t="shared" si="149"/>
        <v>34.114563196593167</v>
      </c>
    </row>
    <row r="120" spans="1:52" outlineLevel="1" x14ac:dyDescent="0.25">
      <c r="A120" s="1" t="s">
        <v>47</v>
      </c>
      <c r="B120" s="2">
        <f>IF(OR(ISBLANK(B1), COUNTIF(B2:B115, TRUE) &lt;&gt; 0, COUNTIF(B2:B115, FALSE) &lt;&gt; 0), "", HARMEAN(B2:B115))</f>
        <v>21.437462067824899</v>
      </c>
      <c r="C120" s="2">
        <f t="shared" ref="C120:H120" si="150">IF(OR(ISBLANK(C1), COUNTIF(C2:C115, TRUE) &lt;&gt; 0, COUNTIF(C2:C115, FALSE) &lt;&gt; 0), "", HARMEAN(C2:C115))</f>
        <v>17.804092904068032</v>
      </c>
      <c r="D120" s="2" t="str">
        <f t="shared" si="150"/>
        <v/>
      </c>
      <c r="E120" s="2" t="str">
        <f t="shared" si="150"/>
        <v/>
      </c>
      <c r="F120" s="2" t="str">
        <f t="shared" si="150"/>
        <v/>
      </c>
      <c r="G120" s="2">
        <f t="shared" si="150"/>
        <v>16.217999382151866</v>
      </c>
      <c r="H120" s="2">
        <f t="shared" si="150"/>
        <v>10.301745470952765</v>
      </c>
      <c r="P120" s="2" t="str">
        <f t="shared" ref="C120:AZ120" si="151">IF(OR(ISBLANK(P1), COUNTIF(P2:P115, TRUE) &lt;&gt; 0, COUNTIF(P2:P115, FALSE) &lt;&gt; 0), "", HARMEAN(P2:P115))</f>
        <v/>
      </c>
      <c r="Q120" s="2" t="str">
        <f t="shared" si="151"/>
        <v/>
      </c>
      <c r="R120" s="2" t="str">
        <f t="shared" si="151"/>
        <v/>
      </c>
      <c r="S120" s="2" t="str">
        <f t="shared" si="151"/>
        <v/>
      </c>
      <c r="T120" s="2" t="str">
        <f t="shared" si="151"/>
        <v/>
      </c>
      <c r="U120" s="2">
        <f t="shared" si="151"/>
        <v>18.979204745931295</v>
      </c>
      <c r="V120" s="2">
        <f t="shared" si="151"/>
        <v>24.627279015875448</v>
      </c>
      <c r="W120" s="2">
        <f t="shared" si="151"/>
        <v>14.927826916862672</v>
      </c>
      <c r="X120" s="2">
        <f t="shared" si="151"/>
        <v>21.53921533913265</v>
      </c>
      <c r="Y120" s="2" t="str">
        <f t="shared" si="151"/>
        <v/>
      </c>
      <c r="Z120" s="2" t="str">
        <f t="shared" si="151"/>
        <v/>
      </c>
      <c r="AA120" s="2" t="str">
        <f t="shared" si="151"/>
        <v/>
      </c>
      <c r="AB120" s="2" t="str">
        <f t="shared" si="151"/>
        <v/>
      </c>
      <c r="AC120" s="2" t="str">
        <f t="shared" si="151"/>
        <v/>
      </c>
      <c r="AD120" s="2" t="str">
        <f t="shared" si="151"/>
        <v/>
      </c>
      <c r="AE120" s="2" t="str">
        <f t="shared" si="151"/>
        <v/>
      </c>
      <c r="AF120" s="2">
        <f t="shared" si="151"/>
        <v>95.261674613736417</v>
      </c>
      <c r="AG120" s="2" t="str">
        <f t="shared" si="151"/>
        <v/>
      </c>
      <c r="AH120" s="2" t="str">
        <f t="shared" si="151"/>
        <v/>
      </c>
      <c r="AI120" s="2">
        <f t="shared" si="151"/>
        <v>106.61501115656735</v>
      </c>
      <c r="AJ120" s="2">
        <f t="shared" si="151"/>
        <v>86.093640368827437</v>
      </c>
      <c r="AK120" s="2" t="str">
        <f t="shared" si="151"/>
        <v/>
      </c>
      <c r="AL120" s="2" t="str">
        <f t="shared" si="151"/>
        <v/>
      </c>
      <c r="AM120" s="2" t="str">
        <f t="shared" si="151"/>
        <v/>
      </c>
      <c r="AN120" s="2" t="str">
        <f t="shared" si="151"/>
        <v/>
      </c>
      <c r="AO120" s="2">
        <f t="shared" si="151"/>
        <v>26.941111608154944</v>
      </c>
      <c r="AP120" s="2">
        <f t="shared" si="151"/>
        <v>17.800995837869745</v>
      </c>
      <c r="AQ120" s="2">
        <f t="shared" si="151"/>
        <v>21.073998651404946</v>
      </c>
      <c r="AR120" s="2">
        <f t="shared" si="151"/>
        <v>15.412623369865402</v>
      </c>
      <c r="AS120" s="2">
        <f t="shared" si="151"/>
        <v>24.758714277826009</v>
      </c>
      <c r="AT120" s="2">
        <f t="shared" si="151"/>
        <v>15.070391498774871</v>
      </c>
      <c r="AU120" s="2">
        <f t="shared" si="151"/>
        <v>29.866231351996607</v>
      </c>
      <c r="AV120" s="2">
        <f t="shared" si="151"/>
        <v>21.269421861650571</v>
      </c>
      <c r="AW120" s="2">
        <f t="shared" si="151"/>
        <v>17.381573391498513</v>
      </c>
      <c r="AX120" s="2">
        <f t="shared" si="151"/>
        <v>13.08116636798168</v>
      </c>
      <c r="AY120" s="2">
        <f t="shared" si="151"/>
        <v>26.055560919710526</v>
      </c>
      <c r="AZ120" s="2">
        <f t="shared" si="151"/>
        <v>18.357256765332568</v>
      </c>
    </row>
    <row r="121" spans="1:52" outlineLevel="1" x14ac:dyDescent="0.25">
      <c r="A121" s="1" t="s">
        <v>42</v>
      </c>
      <c r="B121" s="2">
        <f>IF(OR(ISBLANK(B1), COUNTIF(B2:B115, TRUE) &lt;&gt; 0, COUNTIF(B2:B115, FALSE) &lt;&gt; 0), "", VAR(B2:B115))</f>
        <v>1092.5</v>
      </c>
      <c r="C121" s="2">
        <f t="shared" ref="C121:H121" si="152">IF(OR(ISBLANK(C1), COUNTIF(C2:C115, TRUE) &lt;&gt; 0, COUNTIF(C2:C115, FALSE) &lt;&gt; 0), "", VAR(C2:C115))</f>
        <v>2831.6624747709984</v>
      </c>
      <c r="D121" s="2" t="str">
        <f t="shared" si="152"/>
        <v/>
      </c>
      <c r="E121" s="2" t="str">
        <f t="shared" si="152"/>
        <v/>
      </c>
      <c r="F121" s="2" t="str">
        <f t="shared" si="152"/>
        <v/>
      </c>
      <c r="G121" s="2">
        <f t="shared" si="152"/>
        <v>1314.3689655172413</v>
      </c>
      <c r="H121" s="2">
        <f t="shared" si="152"/>
        <v>2023.5967741935483</v>
      </c>
      <c r="P121" s="2" t="str">
        <f t="shared" ref="C121:AZ121" si="153">IF(OR(ISBLANK(P1), COUNTIF(P2:P115, TRUE) &lt;&gt; 0, COUNTIF(P2:P115, FALSE) &lt;&gt;0), "", VAR(P2:P115))</f>
        <v/>
      </c>
      <c r="Q121" s="2" t="str">
        <f t="shared" si="153"/>
        <v/>
      </c>
      <c r="R121" s="2" t="str">
        <f t="shared" si="153"/>
        <v/>
      </c>
      <c r="S121" s="2" t="str">
        <f t="shared" si="153"/>
        <v/>
      </c>
      <c r="T121" s="2" t="str">
        <f t="shared" si="153"/>
        <v/>
      </c>
      <c r="U121" s="2">
        <f t="shared" si="153"/>
        <v>1102</v>
      </c>
      <c r="V121" s="2">
        <f t="shared" si="153"/>
        <v>1102</v>
      </c>
      <c r="W121" s="2">
        <f t="shared" si="153"/>
        <v>2325.5290006988121</v>
      </c>
      <c r="X121" s="2">
        <f t="shared" si="153"/>
        <v>3302.2497175141243</v>
      </c>
      <c r="Y121" s="2" t="str">
        <f t="shared" si="153"/>
        <v/>
      </c>
      <c r="Z121" s="2" t="str">
        <f t="shared" si="153"/>
        <v/>
      </c>
      <c r="AA121" s="2" t="str">
        <f t="shared" si="153"/>
        <v/>
      </c>
      <c r="AB121" s="2" t="str">
        <f t="shared" si="153"/>
        <v/>
      </c>
      <c r="AC121" s="2" t="str">
        <f t="shared" si="153"/>
        <v/>
      </c>
      <c r="AD121" s="2" t="str">
        <f t="shared" si="153"/>
        <v/>
      </c>
      <c r="AE121" s="2" t="str">
        <f t="shared" si="153"/>
        <v/>
      </c>
      <c r="AF121" s="2">
        <f t="shared" si="153"/>
        <v>1277.4191119391389</v>
      </c>
      <c r="AG121" s="2" t="str">
        <f t="shared" si="153"/>
        <v/>
      </c>
      <c r="AH121" s="2" t="str">
        <f t="shared" si="153"/>
        <v/>
      </c>
      <c r="AI121" s="2">
        <f t="shared" si="153"/>
        <v>1325.2857142857142</v>
      </c>
      <c r="AJ121" s="2">
        <f t="shared" si="153"/>
        <v>1236.4235588972431</v>
      </c>
      <c r="AK121" s="2" t="str">
        <f t="shared" si="153"/>
        <v/>
      </c>
      <c r="AL121" s="2" t="str">
        <f t="shared" si="153"/>
        <v/>
      </c>
      <c r="AM121" s="2" t="str">
        <f t="shared" si="153"/>
        <v/>
      </c>
      <c r="AN121" s="2" t="str">
        <f t="shared" si="153"/>
        <v/>
      </c>
      <c r="AO121" s="2">
        <f t="shared" si="153"/>
        <v>923.76503759398474</v>
      </c>
      <c r="AP121" s="2">
        <f t="shared" si="153"/>
        <v>1280.3364661654134</v>
      </c>
      <c r="AQ121" s="2">
        <f t="shared" si="153"/>
        <v>3018.550751879699</v>
      </c>
      <c r="AR121" s="2">
        <f t="shared" si="153"/>
        <v>2673.8953634085215</v>
      </c>
      <c r="AS121" s="2">
        <f t="shared" si="153"/>
        <v>825.76551724137926</v>
      </c>
      <c r="AT121" s="2">
        <f t="shared" si="153"/>
        <v>1452.1025641025642</v>
      </c>
      <c r="AU121" s="2">
        <f t="shared" si="153"/>
        <v>1068.1025641025642</v>
      </c>
      <c r="AV121" s="2">
        <f t="shared" si="153"/>
        <v>1170.0413793103448</v>
      </c>
      <c r="AW121" s="2">
        <f t="shared" si="153"/>
        <v>2972.1025641025644</v>
      </c>
      <c r="AX121" s="2">
        <f t="shared" si="153"/>
        <v>1715.7037037037039</v>
      </c>
      <c r="AY121" s="2">
        <f t="shared" si="153"/>
        <v>3153.2000000000003</v>
      </c>
      <c r="AZ121" s="2">
        <f t="shared" si="153"/>
        <v>3559.6505747126439</v>
      </c>
    </row>
    <row r="122" spans="1:52" outlineLevel="1" x14ac:dyDescent="0.25">
      <c r="A122" s="1" t="s">
        <v>43</v>
      </c>
      <c r="B122" s="2">
        <f>IF(OR(ISBLANK(B1), COUNTIF(B2:B115, TRUE) &lt;&gt; 0, COUNTIF(B2:B115, FALSE) &lt;&gt; 0), "", _xlfn.STDEV.P(B2:B115))</f>
        <v>32.907699200440412</v>
      </c>
      <c r="C122" s="2">
        <f t="shared" ref="C122:H122" si="154">IF(OR(ISBLANK(C1), COUNTIF(C2:C115, TRUE) &lt;&gt; 0, COUNTIF(C2:C115, FALSE) &lt;&gt; 0), "", _xlfn.STDEV.P(C2:C115))</f>
        <v>52.979461400201714</v>
      </c>
      <c r="D122" s="2" t="str">
        <f t="shared" si="154"/>
        <v/>
      </c>
      <c r="E122" s="2" t="str">
        <f t="shared" si="154"/>
        <v/>
      </c>
      <c r="F122" s="2" t="str">
        <f t="shared" si="154"/>
        <v/>
      </c>
      <c r="G122" s="2">
        <f t="shared" si="154"/>
        <v>35.644868728425223</v>
      </c>
      <c r="H122" s="2">
        <f t="shared" si="154"/>
        <v>44.275945783235393</v>
      </c>
      <c r="P122" s="2" t="str">
        <f t="shared" ref="C122:AZ122" si="155">IF(OR(ISBLANK(P1), COUNTIF(P2:P115, TRUE) &lt;&gt; 0, COUNTIF(P2:P115, FALSE) &lt;&gt;0), "", _xlfn.STDEV.P(P2:P115))</f>
        <v/>
      </c>
      <c r="Q122" s="2" t="str">
        <f t="shared" si="155"/>
        <v/>
      </c>
      <c r="R122" s="2" t="str">
        <f t="shared" si="155"/>
        <v/>
      </c>
      <c r="S122" s="2" t="str">
        <f t="shared" si="155"/>
        <v/>
      </c>
      <c r="T122" s="2" t="str">
        <f t="shared" si="155"/>
        <v/>
      </c>
      <c r="U122" s="2">
        <f t="shared" si="155"/>
        <v>32.903900478008175</v>
      </c>
      <c r="V122" s="2">
        <f t="shared" si="155"/>
        <v>32.903900478008175</v>
      </c>
      <c r="W122" s="2">
        <f t="shared" si="155"/>
        <v>47.775136303667615</v>
      </c>
      <c r="X122" s="2">
        <f t="shared" si="155"/>
        <v>56.984315580887888</v>
      </c>
      <c r="Y122" s="2" t="str">
        <f t="shared" si="155"/>
        <v/>
      </c>
      <c r="Z122" s="2" t="str">
        <f t="shared" si="155"/>
        <v/>
      </c>
      <c r="AA122" s="2" t="str">
        <f t="shared" si="155"/>
        <v/>
      </c>
      <c r="AB122" s="2" t="str">
        <f t="shared" si="155"/>
        <v/>
      </c>
      <c r="AC122" s="2" t="str">
        <f t="shared" si="155"/>
        <v/>
      </c>
      <c r="AD122" s="2" t="str">
        <f t="shared" si="155"/>
        <v/>
      </c>
      <c r="AE122" s="2" t="str">
        <f t="shared" si="155"/>
        <v/>
      </c>
      <c r="AF122" s="2">
        <f t="shared" si="155"/>
        <v>35.583896373678023</v>
      </c>
      <c r="AG122" s="2" t="str">
        <f t="shared" si="155"/>
        <v/>
      </c>
      <c r="AH122" s="2" t="str">
        <f t="shared" si="155"/>
        <v/>
      </c>
      <c r="AI122" s="2">
        <f t="shared" si="155"/>
        <v>36.083723307320966</v>
      </c>
      <c r="AJ122" s="2">
        <f t="shared" si="155"/>
        <v>34.853004425918307</v>
      </c>
      <c r="AK122" s="2" t="str">
        <f t="shared" si="155"/>
        <v/>
      </c>
      <c r="AL122" s="2" t="str">
        <f t="shared" si="155"/>
        <v/>
      </c>
      <c r="AM122" s="2" t="str">
        <f t="shared" si="155"/>
        <v/>
      </c>
      <c r="AN122" s="2" t="str">
        <f t="shared" si="155"/>
        <v/>
      </c>
      <c r="AO122" s="2">
        <f t="shared" si="155"/>
        <v>30.125713824334014</v>
      </c>
      <c r="AP122" s="2">
        <f t="shared" si="155"/>
        <v>35.466525385204477</v>
      </c>
      <c r="AQ122" s="2">
        <f t="shared" si="155"/>
        <v>54.457265090573244</v>
      </c>
      <c r="AR122" s="2">
        <f t="shared" si="155"/>
        <v>51.254120989794004</v>
      </c>
      <c r="AS122" s="2">
        <f t="shared" si="155"/>
        <v>28.253141418256483</v>
      </c>
      <c r="AT122" s="2">
        <f t="shared" si="155"/>
        <v>37.394130390401124</v>
      </c>
      <c r="AU122" s="2">
        <f t="shared" si="155"/>
        <v>32.070909090272814</v>
      </c>
      <c r="AV122" s="2">
        <f t="shared" si="155"/>
        <v>33.630938137375828</v>
      </c>
      <c r="AW122" s="2">
        <f t="shared" si="155"/>
        <v>53.497894270317076</v>
      </c>
      <c r="AX122" s="2">
        <f t="shared" si="155"/>
        <v>40.64676029015164</v>
      </c>
      <c r="AY122" s="2">
        <f t="shared" si="155"/>
        <v>55.209540238380299</v>
      </c>
      <c r="AZ122" s="2">
        <f t="shared" si="155"/>
        <v>58.659999621169071</v>
      </c>
    </row>
    <row r="123" spans="1:52" outlineLevel="1" x14ac:dyDescent="0.25"/>
    <row r="124" spans="1:52" outlineLevel="1" x14ac:dyDescent="0.25">
      <c r="A124" s="1" t="s">
        <v>44</v>
      </c>
      <c r="B124" s="2">
        <f>IF(OR(ISBLANK(B1), COUNTIF(B2:B115, TRUE) &lt;&gt; 0, COUNTIF(B2:B115, FALSE) &lt;&gt; 0), "", MIN(B2:B115))</f>
        <v>1</v>
      </c>
      <c r="C124" s="2">
        <f t="shared" ref="C124:H124" si="156">IF(OR(ISBLANK(C1), COUNTIF(C2:C115, TRUE) &lt;&gt; 0, COUNTIF(C2:C115, FALSE) &lt;&gt; 0), "", MIN(C2:C115))</f>
        <v>3</v>
      </c>
      <c r="D124" s="2" t="str">
        <f t="shared" si="156"/>
        <v/>
      </c>
      <c r="E124" s="2" t="str">
        <f t="shared" si="156"/>
        <v/>
      </c>
      <c r="F124" s="2" t="str">
        <f t="shared" si="156"/>
        <v/>
      </c>
      <c r="G124" s="2">
        <f t="shared" si="156"/>
        <v>2</v>
      </c>
      <c r="H124" s="2">
        <f t="shared" si="156"/>
        <v>3</v>
      </c>
      <c r="P124" s="2" t="str">
        <f t="shared" ref="C124:AZ124" si="157">IF(OR(ISBLANK(P1), COUNTIF(P2:P115, TRUE) &lt;&gt; 0, COUNTIF(P2:P115, FALSE) &lt;&gt;0), "", MIN(P2:P115))</f>
        <v/>
      </c>
      <c r="Q124" s="2" t="str">
        <f t="shared" si="157"/>
        <v/>
      </c>
      <c r="R124" s="2" t="str">
        <f t="shared" si="157"/>
        <v/>
      </c>
      <c r="S124" s="2" t="str">
        <f t="shared" si="157"/>
        <v/>
      </c>
      <c r="T124" s="2" t="str">
        <f t="shared" si="157"/>
        <v/>
      </c>
      <c r="U124" s="2">
        <f t="shared" si="157"/>
        <v>1</v>
      </c>
      <c r="V124" s="2">
        <f t="shared" si="157"/>
        <v>2</v>
      </c>
      <c r="W124" s="2">
        <f t="shared" si="157"/>
        <v>3</v>
      </c>
      <c r="X124" s="2">
        <f t="shared" si="157"/>
        <v>4</v>
      </c>
      <c r="Y124" s="2" t="str">
        <f t="shared" si="157"/>
        <v/>
      </c>
      <c r="Z124" s="2" t="str">
        <f t="shared" si="157"/>
        <v/>
      </c>
      <c r="AA124" s="2" t="str">
        <f t="shared" si="157"/>
        <v/>
      </c>
      <c r="AB124" s="2" t="str">
        <f t="shared" si="157"/>
        <v/>
      </c>
      <c r="AC124" s="2" t="str">
        <f t="shared" si="157"/>
        <v/>
      </c>
      <c r="AD124" s="2" t="str">
        <f t="shared" si="157"/>
        <v/>
      </c>
      <c r="AE124" s="2" t="str">
        <f t="shared" si="157"/>
        <v/>
      </c>
      <c r="AF124" s="2">
        <f t="shared" si="157"/>
        <v>8</v>
      </c>
      <c r="AG124" s="2" t="str">
        <f t="shared" si="157"/>
        <v/>
      </c>
      <c r="AH124" s="2" t="str">
        <f t="shared" si="157"/>
        <v/>
      </c>
      <c r="AI124" s="2">
        <f t="shared" si="157"/>
        <v>65</v>
      </c>
      <c r="AJ124" s="2">
        <f t="shared" si="157"/>
        <v>8</v>
      </c>
      <c r="AK124" s="2" t="str">
        <f t="shared" si="157"/>
        <v/>
      </c>
      <c r="AL124" s="2" t="str">
        <f t="shared" si="157"/>
        <v/>
      </c>
      <c r="AM124" s="2" t="str">
        <f t="shared" si="157"/>
        <v/>
      </c>
      <c r="AN124" s="2" t="str">
        <f t="shared" si="157"/>
        <v/>
      </c>
      <c r="AO124" s="2">
        <f t="shared" si="157"/>
        <v>3</v>
      </c>
      <c r="AP124" s="2">
        <f t="shared" si="157"/>
        <v>1</v>
      </c>
      <c r="AQ124" s="2">
        <f t="shared" si="157"/>
        <v>3</v>
      </c>
      <c r="AR124" s="2">
        <f t="shared" si="157"/>
        <v>3</v>
      </c>
      <c r="AS124" s="2">
        <f t="shared" si="157"/>
        <v>3</v>
      </c>
      <c r="AT124" s="2">
        <f t="shared" si="157"/>
        <v>1</v>
      </c>
      <c r="AU124" s="2">
        <f t="shared" si="157"/>
        <v>6</v>
      </c>
      <c r="AV124" s="2">
        <f t="shared" si="157"/>
        <v>2</v>
      </c>
      <c r="AW124" s="2">
        <f t="shared" si="157"/>
        <v>3</v>
      </c>
      <c r="AX124" s="2">
        <f t="shared" si="157"/>
        <v>3</v>
      </c>
      <c r="AY124" s="2">
        <f t="shared" si="157"/>
        <v>6</v>
      </c>
      <c r="AZ124" s="2">
        <f t="shared" si="157"/>
        <v>4</v>
      </c>
    </row>
    <row r="125" spans="1:52" outlineLevel="1" x14ac:dyDescent="0.25">
      <c r="A125" s="1" t="s">
        <v>40</v>
      </c>
      <c r="B125" s="2">
        <f>IF(OR(ISBLANK(B1), COUNTIF(B2:B115, TRUE) &lt;&gt; 0, COUNTIF(B2:B115, FALSE) &lt;&gt; 0), "", QUARTILE(B2:B115, 1))</f>
        <v>29.25</v>
      </c>
      <c r="C125" s="2">
        <f t="shared" ref="C125:H125" si="158">IF(OR(ISBLANK(C1), COUNTIF(C2:C115, TRUE) &lt;&gt; 0, COUNTIF(C2:C115, FALSE) &lt;&gt; 0), "", QUARTILE(C2:C115, 1))</f>
        <v>15.5</v>
      </c>
      <c r="D125" s="2" t="str">
        <f t="shared" si="158"/>
        <v/>
      </c>
      <c r="E125" s="2" t="str">
        <f t="shared" si="158"/>
        <v/>
      </c>
      <c r="F125" s="2" t="str">
        <f t="shared" si="158"/>
        <v/>
      </c>
      <c r="G125" s="2">
        <f t="shared" si="158"/>
        <v>20</v>
      </c>
      <c r="H125" s="2">
        <f t="shared" si="158"/>
        <v>7</v>
      </c>
      <c r="P125" s="2" t="str">
        <f t="shared" ref="C125:AZ125" si="159">IF(OR(ISBLANK(P1), COUNTIF(P2:P115, TRUE) &lt;&gt; 0, COUNTIF(P2:P115, FALSE) &lt;&gt;0), "", QUARTILE(P2:P115, 1))</f>
        <v/>
      </c>
      <c r="Q125" s="2" t="str">
        <f t="shared" si="159"/>
        <v/>
      </c>
      <c r="R125" s="2" t="str">
        <f t="shared" si="159"/>
        <v/>
      </c>
      <c r="S125" s="2" t="str">
        <f t="shared" si="159"/>
        <v/>
      </c>
      <c r="T125" s="2" t="str">
        <f t="shared" si="159"/>
        <v/>
      </c>
      <c r="U125" s="2">
        <f t="shared" si="159"/>
        <v>29</v>
      </c>
      <c r="V125" s="2">
        <f t="shared" si="159"/>
        <v>30</v>
      </c>
      <c r="W125" s="2">
        <f t="shared" si="159"/>
        <v>11</v>
      </c>
      <c r="X125" s="2">
        <f t="shared" si="159"/>
        <v>20</v>
      </c>
      <c r="Y125" s="2" t="str">
        <f t="shared" si="159"/>
        <v/>
      </c>
      <c r="Z125" s="2" t="str">
        <f t="shared" si="159"/>
        <v/>
      </c>
      <c r="AA125" s="2" t="str">
        <f t="shared" si="159"/>
        <v/>
      </c>
      <c r="AB125" s="2" t="str">
        <f t="shared" si="159"/>
        <v/>
      </c>
      <c r="AC125" s="2" t="str">
        <f t="shared" si="159"/>
        <v/>
      </c>
      <c r="AD125" s="2" t="str">
        <f t="shared" si="159"/>
        <v/>
      </c>
      <c r="AE125" s="2" t="str">
        <f t="shared" si="159"/>
        <v/>
      </c>
      <c r="AF125" s="2">
        <f t="shared" si="159"/>
        <v>95.5</v>
      </c>
      <c r="AG125" s="2" t="str">
        <f t="shared" si="159"/>
        <v/>
      </c>
      <c r="AH125" s="2" t="str">
        <f t="shared" si="159"/>
        <v/>
      </c>
      <c r="AI125" s="2">
        <f t="shared" si="159"/>
        <v>95</v>
      </c>
      <c r="AJ125" s="2">
        <f t="shared" si="159"/>
        <v>98</v>
      </c>
      <c r="AK125" s="2" t="str">
        <f t="shared" si="159"/>
        <v/>
      </c>
      <c r="AL125" s="2" t="str">
        <f t="shared" si="159"/>
        <v/>
      </c>
      <c r="AM125" s="2" t="str">
        <f t="shared" si="159"/>
        <v/>
      </c>
      <c r="AN125" s="2" t="str">
        <f t="shared" si="159"/>
        <v/>
      </c>
      <c r="AO125" s="2">
        <f t="shared" si="159"/>
        <v>37</v>
      </c>
      <c r="AP125" s="2">
        <f t="shared" si="159"/>
        <v>27</v>
      </c>
      <c r="AQ125" s="2">
        <f t="shared" si="159"/>
        <v>19</v>
      </c>
      <c r="AR125" s="2">
        <f t="shared" si="159"/>
        <v>11</v>
      </c>
      <c r="AS125" s="2">
        <f t="shared" si="159"/>
        <v>38</v>
      </c>
      <c r="AT125" s="2">
        <f t="shared" si="159"/>
        <v>26</v>
      </c>
      <c r="AU125" s="2">
        <f t="shared" si="159"/>
        <v>38</v>
      </c>
      <c r="AV125" s="2">
        <f t="shared" si="159"/>
        <v>28.5</v>
      </c>
      <c r="AW125" s="2">
        <f t="shared" si="159"/>
        <v>18</v>
      </c>
      <c r="AX125" s="2">
        <f t="shared" si="159"/>
        <v>9</v>
      </c>
      <c r="AY125" s="2">
        <f t="shared" si="159"/>
        <v>22.5</v>
      </c>
      <c r="AZ125" s="2">
        <f t="shared" si="159"/>
        <v>18.5</v>
      </c>
    </row>
    <row r="126" spans="1:52" outlineLevel="1" x14ac:dyDescent="0.25">
      <c r="A126" s="1" t="s">
        <v>39</v>
      </c>
      <c r="B126" s="2">
        <f>IF(OR(ISBLANK(B1), COUNTIF(B2:B115, TRUE) &lt;&gt; 0, COUNTIF(B2:B115, FALSE) &lt;&gt; 0), "", MEDIAN(B2:B115))</f>
        <v>57.5</v>
      </c>
      <c r="C126" s="2">
        <f t="shared" ref="C126:H126" si="160">IF(OR(ISBLANK(C1), COUNTIF(C2:C115, TRUE) &lt;&gt; 0, COUNTIF(C2:C115, FALSE) &lt;&gt; 0), "", MEDIAN(C2:C115))</f>
        <v>39</v>
      </c>
      <c r="D126" s="2" t="str">
        <f t="shared" si="160"/>
        <v/>
      </c>
      <c r="E126" s="2" t="str">
        <f t="shared" si="160"/>
        <v/>
      </c>
      <c r="F126" s="2" t="str">
        <f t="shared" si="160"/>
        <v/>
      </c>
      <c r="G126" s="2">
        <f t="shared" si="160"/>
        <v>50</v>
      </c>
      <c r="H126" s="2">
        <f t="shared" si="160"/>
        <v>18</v>
      </c>
      <c r="P126" s="2" t="str">
        <f t="shared" ref="C126:AZ126" si="161">IF(OR(ISBLANK(P1), COUNTIF(P2:P115, TRUE) &lt;&gt; 0, COUNTIF(P2:P115, FALSE) &lt;&gt;0), "", MEDIAN(P2:P115))</f>
        <v/>
      </c>
      <c r="Q126" s="2" t="str">
        <f t="shared" si="161"/>
        <v/>
      </c>
      <c r="R126" s="2" t="str">
        <f t="shared" si="161"/>
        <v/>
      </c>
      <c r="S126" s="2" t="str">
        <f t="shared" si="161"/>
        <v/>
      </c>
      <c r="T126" s="2" t="str">
        <f t="shared" si="161"/>
        <v/>
      </c>
      <c r="U126" s="2">
        <f t="shared" si="161"/>
        <v>57</v>
      </c>
      <c r="V126" s="2">
        <f t="shared" si="161"/>
        <v>58</v>
      </c>
      <c r="W126" s="2">
        <f t="shared" si="161"/>
        <v>33</v>
      </c>
      <c r="X126" s="2">
        <f t="shared" si="161"/>
        <v>41</v>
      </c>
      <c r="Y126" s="2" t="str">
        <f t="shared" si="161"/>
        <v/>
      </c>
      <c r="Z126" s="2" t="str">
        <f t="shared" si="161"/>
        <v/>
      </c>
      <c r="AA126" s="2" t="str">
        <f t="shared" si="161"/>
        <v/>
      </c>
      <c r="AB126" s="2" t="str">
        <f t="shared" si="161"/>
        <v/>
      </c>
      <c r="AC126" s="2" t="str">
        <f t="shared" si="161"/>
        <v/>
      </c>
      <c r="AD126" s="2" t="str">
        <f t="shared" si="161"/>
        <v/>
      </c>
      <c r="AE126" s="2" t="str">
        <f t="shared" si="161"/>
        <v/>
      </c>
      <c r="AF126" s="2">
        <f t="shared" si="161"/>
        <v>110</v>
      </c>
      <c r="AG126" s="2" t="str">
        <f t="shared" si="161"/>
        <v/>
      </c>
      <c r="AH126" s="2" t="str">
        <f t="shared" si="161"/>
        <v/>
      </c>
      <c r="AI126" s="2">
        <f t="shared" si="161"/>
        <v>111</v>
      </c>
      <c r="AJ126" s="2">
        <f t="shared" si="161"/>
        <v>110</v>
      </c>
      <c r="AK126" s="2" t="str">
        <f t="shared" si="161"/>
        <v/>
      </c>
      <c r="AL126" s="2" t="str">
        <f t="shared" si="161"/>
        <v/>
      </c>
      <c r="AM126" s="2" t="str">
        <f t="shared" si="161"/>
        <v/>
      </c>
      <c r="AN126" s="2" t="str">
        <f t="shared" si="161"/>
        <v/>
      </c>
      <c r="AO126" s="2">
        <f t="shared" si="161"/>
        <v>55</v>
      </c>
      <c r="AP126" s="2">
        <f t="shared" si="161"/>
        <v>58</v>
      </c>
      <c r="AQ126" s="2">
        <f t="shared" si="161"/>
        <v>38</v>
      </c>
      <c r="AR126" s="2">
        <f t="shared" si="161"/>
        <v>40</v>
      </c>
      <c r="AS126" s="2">
        <f t="shared" si="161"/>
        <v>60</v>
      </c>
      <c r="AT126" s="2">
        <f t="shared" si="161"/>
        <v>45</v>
      </c>
      <c r="AU126" s="2">
        <f t="shared" si="161"/>
        <v>52</v>
      </c>
      <c r="AV126" s="2">
        <f t="shared" si="161"/>
        <v>65</v>
      </c>
      <c r="AW126" s="2">
        <f t="shared" si="161"/>
        <v>35</v>
      </c>
      <c r="AX126" s="2">
        <f t="shared" si="161"/>
        <v>29</v>
      </c>
      <c r="AY126" s="2">
        <f t="shared" si="161"/>
        <v>39</v>
      </c>
      <c r="AZ126" s="2">
        <f t="shared" si="161"/>
        <v>43</v>
      </c>
    </row>
    <row r="127" spans="1:52" outlineLevel="1" x14ac:dyDescent="0.25">
      <c r="A127" s="1" t="s">
        <v>41</v>
      </c>
      <c r="B127" s="2">
        <f>IF(OR(ISBLANK(B1), COUNTIF(B2:B115, TRUE) &lt;&gt; 0, COUNTIF(B2:B115, FALSE) &lt;&gt; 0), "", QUARTILE(B2:B115, 3))</f>
        <v>85.75</v>
      </c>
      <c r="C127" s="2">
        <f t="shared" ref="C127:H127" si="162">IF(OR(ISBLANK(C1), COUNTIF(C2:C115, TRUE) &lt;&gt; 0, COUNTIF(C2:C115, FALSE) &lt;&gt; 0), "", QUARTILE(C2:C115, 3))</f>
        <v>77.75</v>
      </c>
      <c r="D127" s="2" t="str">
        <f t="shared" si="162"/>
        <v/>
      </c>
      <c r="E127" s="2" t="str">
        <f t="shared" si="162"/>
        <v/>
      </c>
      <c r="F127" s="2" t="str">
        <f t="shared" si="162"/>
        <v/>
      </c>
      <c r="G127" s="2">
        <f t="shared" si="162"/>
        <v>82</v>
      </c>
      <c r="H127" s="2">
        <f t="shared" si="162"/>
        <v>38.5</v>
      </c>
      <c r="P127" s="2" t="str">
        <f t="shared" ref="C127:AZ127" si="163">IF(OR(ISBLANK(P1), COUNTIF(P2:P115, TRUE) &lt;&gt; 0, COUNTIF(P2:P115, FALSE) &lt;&gt;0), "", QUARTILE(P2:P115, 3))</f>
        <v/>
      </c>
      <c r="Q127" s="2" t="str">
        <f t="shared" si="163"/>
        <v/>
      </c>
      <c r="R127" s="2" t="str">
        <f t="shared" si="163"/>
        <v/>
      </c>
      <c r="S127" s="2" t="str">
        <f t="shared" si="163"/>
        <v/>
      </c>
      <c r="T127" s="2" t="str">
        <f t="shared" si="163"/>
        <v/>
      </c>
      <c r="U127" s="2">
        <f t="shared" si="163"/>
        <v>85</v>
      </c>
      <c r="V127" s="2">
        <f t="shared" si="163"/>
        <v>86</v>
      </c>
      <c r="W127" s="2">
        <f t="shared" si="163"/>
        <v>76.5</v>
      </c>
      <c r="X127" s="2">
        <f t="shared" si="163"/>
        <v>78</v>
      </c>
      <c r="Y127" s="2" t="str">
        <f t="shared" si="163"/>
        <v/>
      </c>
      <c r="Z127" s="2" t="str">
        <f t="shared" si="163"/>
        <v/>
      </c>
      <c r="AA127" s="2" t="str">
        <f t="shared" si="163"/>
        <v/>
      </c>
      <c r="AB127" s="2" t="str">
        <f t="shared" si="163"/>
        <v/>
      </c>
      <c r="AC127" s="2" t="str">
        <f t="shared" si="163"/>
        <v/>
      </c>
      <c r="AD127" s="2" t="str">
        <f t="shared" si="163"/>
        <v/>
      </c>
      <c r="AE127" s="2" t="str">
        <f t="shared" si="163"/>
        <v/>
      </c>
      <c r="AF127" s="2">
        <f t="shared" si="163"/>
        <v>120</v>
      </c>
      <c r="AG127" s="2" t="str">
        <f t="shared" si="163"/>
        <v/>
      </c>
      <c r="AH127" s="2" t="str">
        <f t="shared" si="163"/>
        <v/>
      </c>
      <c r="AI127" s="2">
        <f t="shared" si="163"/>
        <v>121</v>
      </c>
      <c r="AJ127" s="2">
        <f t="shared" si="163"/>
        <v>120</v>
      </c>
      <c r="AK127" s="2" t="str">
        <f t="shared" si="163"/>
        <v/>
      </c>
      <c r="AL127" s="2" t="str">
        <f t="shared" si="163"/>
        <v/>
      </c>
      <c r="AM127" s="2" t="str">
        <f t="shared" si="163"/>
        <v/>
      </c>
      <c r="AN127" s="2" t="str">
        <f t="shared" si="163"/>
        <v/>
      </c>
      <c r="AO127" s="2">
        <f t="shared" si="163"/>
        <v>82</v>
      </c>
      <c r="AP127" s="2">
        <f t="shared" si="163"/>
        <v>91</v>
      </c>
      <c r="AQ127" s="2">
        <f t="shared" si="163"/>
        <v>78</v>
      </c>
      <c r="AR127" s="2">
        <f t="shared" si="163"/>
        <v>77</v>
      </c>
      <c r="AS127" s="2">
        <f t="shared" si="163"/>
        <v>76.5</v>
      </c>
      <c r="AT127" s="2">
        <f t="shared" si="163"/>
        <v>95</v>
      </c>
      <c r="AU127" s="2">
        <f t="shared" si="163"/>
        <v>85</v>
      </c>
      <c r="AV127" s="2">
        <f t="shared" si="163"/>
        <v>86</v>
      </c>
      <c r="AW127" s="2">
        <f t="shared" si="163"/>
        <v>79</v>
      </c>
      <c r="AX127" s="2">
        <f t="shared" si="163"/>
        <v>76</v>
      </c>
      <c r="AY127" s="2">
        <f t="shared" si="163"/>
        <v>74</v>
      </c>
      <c r="AZ127" s="2">
        <f t="shared" si="163"/>
        <v>74.5</v>
      </c>
    </row>
    <row r="128" spans="1:52" outlineLevel="1" x14ac:dyDescent="0.25">
      <c r="A128" s="1" t="s">
        <v>45</v>
      </c>
      <c r="B128" s="2">
        <f>IF(OR(ISBLANK(B1), COUNTIF(B2:B115, TRUE) &lt;&gt; 0, COUNTIF(B2:B115, FALSE) &lt;&gt; 0), "", MAX(B2:B115))</f>
        <v>114</v>
      </c>
      <c r="C128" s="2">
        <f t="shared" ref="C128:H128" si="164">IF(OR(ISBLANK(C1), COUNTIF(C2:C115, TRUE) &lt;&gt; 0, COUNTIF(C2:C115, FALSE) &lt;&gt; 0), "", MAX(C2:C115))</f>
        <v>286</v>
      </c>
      <c r="D128" s="2" t="str">
        <f t="shared" si="164"/>
        <v/>
      </c>
      <c r="E128" s="2" t="str">
        <f t="shared" si="164"/>
        <v/>
      </c>
      <c r="F128" s="2" t="str">
        <f t="shared" si="164"/>
        <v/>
      </c>
      <c r="G128" s="2">
        <f t="shared" si="164"/>
        <v>113</v>
      </c>
      <c r="H128" s="2">
        <f t="shared" si="164"/>
        <v>227</v>
      </c>
      <c r="P128" s="2" t="str">
        <f t="shared" ref="C128:AZ128" si="165">IF(OR(ISBLANK(P1), COUNTIF(P2:P115, TRUE) &lt;&gt; 0, COUNTIF(P2:P115, FALSE) &lt;&gt;0), "", MAX(P2:P115))</f>
        <v/>
      </c>
      <c r="Q128" s="2" t="str">
        <f t="shared" si="165"/>
        <v/>
      </c>
      <c r="R128" s="2" t="str">
        <f t="shared" si="165"/>
        <v/>
      </c>
      <c r="S128" s="2" t="str">
        <f t="shared" si="165"/>
        <v/>
      </c>
      <c r="T128" s="2" t="str">
        <f t="shared" si="165"/>
        <v/>
      </c>
      <c r="U128" s="2">
        <f t="shared" si="165"/>
        <v>113</v>
      </c>
      <c r="V128" s="2">
        <f t="shared" si="165"/>
        <v>114</v>
      </c>
      <c r="W128" s="2">
        <f t="shared" si="165"/>
        <v>227</v>
      </c>
      <c r="X128" s="2">
        <f t="shared" si="165"/>
        <v>286</v>
      </c>
      <c r="Y128" s="2" t="str">
        <f t="shared" si="165"/>
        <v/>
      </c>
      <c r="Z128" s="2" t="str">
        <f t="shared" si="165"/>
        <v/>
      </c>
      <c r="AA128" s="2" t="str">
        <f t="shared" si="165"/>
        <v/>
      </c>
      <c r="AB128" s="2" t="str">
        <f t="shared" si="165"/>
        <v/>
      </c>
      <c r="AC128" s="2" t="str">
        <f t="shared" si="165"/>
        <v/>
      </c>
      <c r="AD128" s="2" t="str">
        <f t="shared" si="165"/>
        <v/>
      </c>
      <c r="AE128" s="2" t="str">
        <f t="shared" si="165"/>
        <v/>
      </c>
      <c r="AF128" s="2">
        <f t="shared" si="165"/>
        <v>288</v>
      </c>
      <c r="AG128" s="2" t="str">
        <f t="shared" si="165"/>
        <v/>
      </c>
      <c r="AH128" s="2" t="str">
        <f t="shared" si="165"/>
        <v/>
      </c>
      <c r="AI128" s="2">
        <f t="shared" si="165"/>
        <v>253</v>
      </c>
      <c r="AJ128" s="2">
        <f t="shared" si="165"/>
        <v>288</v>
      </c>
      <c r="AK128" s="2" t="str">
        <f t="shared" si="165"/>
        <v/>
      </c>
      <c r="AL128" s="2" t="str">
        <f t="shared" si="165"/>
        <v/>
      </c>
      <c r="AM128" s="2" t="str">
        <f t="shared" si="165"/>
        <v/>
      </c>
      <c r="AN128" s="2" t="str">
        <f t="shared" si="165"/>
        <v/>
      </c>
      <c r="AO128" s="2">
        <f t="shared" si="165"/>
        <v>110</v>
      </c>
      <c r="AP128" s="2">
        <f t="shared" si="165"/>
        <v>114</v>
      </c>
      <c r="AQ128" s="2">
        <f t="shared" si="165"/>
        <v>227</v>
      </c>
      <c r="AR128" s="2">
        <f t="shared" si="165"/>
        <v>286</v>
      </c>
      <c r="AS128" s="2">
        <f t="shared" si="165"/>
        <v>109</v>
      </c>
      <c r="AT128" s="2">
        <f t="shared" si="165"/>
        <v>113</v>
      </c>
      <c r="AU128" s="2">
        <f t="shared" si="165"/>
        <v>110</v>
      </c>
      <c r="AV128" s="2">
        <f t="shared" si="165"/>
        <v>114</v>
      </c>
      <c r="AW128" s="2">
        <f t="shared" si="165"/>
        <v>227</v>
      </c>
      <c r="AX128" s="2">
        <f t="shared" si="165"/>
        <v>129</v>
      </c>
      <c r="AY128" s="2">
        <f t="shared" si="165"/>
        <v>206</v>
      </c>
      <c r="AZ128" s="2">
        <f t="shared" si="165"/>
        <v>286</v>
      </c>
    </row>
    <row r="129" spans="1:52" outlineLevel="1" x14ac:dyDescent="0.25"/>
    <row r="130" spans="1:52" outlineLevel="1" x14ac:dyDescent="0.25">
      <c r="A130" s="1" t="s">
        <v>46</v>
      </c>
      <c r="B130" s="2">
        <f>IF(OR(ISBLANK(B1), COUNTIF(B2:B115, TRUE) &lt;&gt; 0, COUNTIF(B2:B115, FALSE) &lt;&gt; 0), "", B128-B124)</f>
        <v>113</v>
      </c>
      <c r="C130" s="2">
        <f t="shared" ref="C130:H130" si="166">IF(OR(ISBLANK(C1), COUNTIF(C2:C115, TRUE) &lt;&gt; 0, COUNTIF(C2:C115, FALSE) &lt;&gt; 0), "", C128-C124)</f>
        <v>283</v>
      </c>
      <c r="D130" s="2" t="str">
        <f t="shared" si="166"/>
        <v/>
      </c>
      <c r="E130" s="2" t="str">
        <f t="shared" si="166"/>
        <v/>
      </c>
      <c r="F130" s="2" t="str">
        <f t="shared" si="166"/>
        <v/>
      </c>
      <c r="G130" s="2">
        <f t="shared" si="166"/>
        <v>111</v>
      </c>
      <c r="H130" s="2">
        <f t="shared" si="166"/>
        <v>224</v>
      </c>
      <c r="P130" s="2" t="str">
        <f t="shared" ref="C130:AZ130" si="167">IF(OR(ISBLANK(P1), COUNTIF(P2:P115, TRUE) &lt;&gt; 0, COUNTIF(P2:P115, FALSE) &lt;&gt; 0), "", P128-P124)</f>
        <v/>
      </c>
      <c r="Q130" s="2" t="str">
        <f t="shared" si="167"/>
        <v/>
      </c>
      <c r="R130" s="2" t="str">
        <f t="shared" si="167"/>
        <v/>
      </c>
      <c r="S130" s="2" t="str">
        <f t="shared" si="167"/>
        <v/>
      </c>
      <c r="T130" s="2" t="str">
        <f t="shared" si="167"/>
        <v/>
      </c>
      <c r="U130" s="2">
        <f t="shared" si="167"/>
        <v>112</v>
      </c>
      <c r="V130" s="2">
        <f t="shared" si="167"/>
        <v>112</v>
      </c>
      <c r="W130" s="2">
        <f t="shared" si="167"/>
        <v>224</v>
      </c>
      <c r="X130" s="2">
        <f t="shared" si="167"/>
        <v>282</v>
      </c>
      <c r="Y130" s="2" t="str">
        <f t="shared" si="167"/>
        <v/>
      </c>
      <c r="Z130" s="2" t="str">
        <f t="shared" si="167"/>
        <v/>
      </c>
      <c r="AA130" s="2" t="str">
        <f t="shared" si="167"/>
        <v/>
      </c>
      <c r="AB130" s="2" t="str">
        <f t="shared" si="167"/>
        <v/>
      </c>
      <c r="AC130" s="2" t="str">
        <f t="shared" si="167"/>
        <v/>
      </c>
      <c r="AD130" s="2" t="str">
        <f t="shared" si="167"/>
        <v/>
      </c>
      <c r="AE130" s="2" t="str">
        <f t="shared" si="167"/>
        <v/>
      </c>
      <c r="AF130" s="2">
        <f t="shared" si="167"/>
        <v>280</v>
      </c>
      <c r="AG130" s="2" t="str">
        <f t="shared" si="167"/>
        <v/>
      </c>
      <c r="AH130" s="2" t="str">
        <f t="shared" si="167"/>
        <v/>
      </c>
      <c r="AI130" s="2">
        <f t="shared" si="167"/>
        <v>188</v>
      </c>
      <c r="AJ130" s="2">
        <f t="shared" si="167"/>
        <v>280</v>
      </c>
      <c r="AK130" s="2" t="str">
        <f t="shared" si="167"/>
        <v/>
      </c>
      <c r="AL130" s="2" t="str">
        <f t="shared" si="167"/>
        <v/>
      </c>
      <c r="AM130" s="2" t="str">
        <f t="shared" si="167"/>
        <v/>
      </c>
      <c r="AN130" s="2" t="str">
        <f t="shared" si="167"/>
        <v/>
      </c>
      <c r="AO130" s="2">
        <f t="shared" si="167"/>
        <v>107</v>
      </c>
      <c r="AP130" s="2">
        <f t="shared" si="167"/>
        <v>113</v>
      </c>
      <c r="AQ130" s="2">
        <f t="shared" si="167"/>
        <v>224</v>
      </c>
      <c r="AR130" s="2">
        <f t="shared" si="167"/>
        <v>283</v>
      </c>
      <c r="AS130" s="2">
        <f t="shared" si="167"/>
        <v>106</v>
      </c>
      <c r="AT130" s="2">
        <f t="shared" si="167"/>
        <v>112</v>
      </c>
      <c r="AU130" s="2">
        <f t="shared" si="167"/>
        <v>104</v>
      </c>
      <c r="AV130" s="2">
        <f t="shared" si="167"/>
        <v>112</v>
      </c>
      <c r="AW130" s="2">
        <f t="shared" si="167"/>
        <v>224</v>
      </c>
      <c r="AX130" s="2">
        <f t="shared" si="167"/>
        <v>126</v>
      </c>
      <c r="AY130" s="2">
        <f t="shared" si="167"/>
        <v>200</v>
      </c>
      <c r="AZ130" s="2">
        <f t="shared" si="167"/>
        <v>282</v>
      </c>
    </row>
    <row r="133" spans="1:52" s="4" customFormat="1" x14ac:dyDescent="0.25">
      <c r="A133" s="5" t="s">
        <v>17</v>
      </c>
    </row>
    <row r="134" spans="1:52" s="4" customFormat="1" x14ac:dyDescent="0.25">
      <c r="A134" s="5" t="str">
        <f>"Sum of Chapters: "&amp;B116</f>
        <v>Sum of Chapters: 6555</v>
      </c>
    </row>
    <row r="135" spans="1:52" s="4" customFormat="1" x14ac:dyDescent="0.25">
      <c r="A135" s="3" t="str">
        <f>"Number of Verses: "&amp;C116</f>
        <v>Number of Verses: 6236</v>
      </c>
    </row>
    <row r="136" spans="1:52" s="4" customFormat="1" x14ac:dyDescent="0.25">
      <c r="A136" s="3"/>
    </row>
    <row r="137" spans="1:52" s="4" customFormat="1" x14ac:dyDescent="0.25">
      <c r="A137" s="3" t="str">
        <f>"Number of Odd Chapters: "&amp;Q116</f>
        <v>Number of Odd Chapters: 57</v>
      </c>
    </row>
    <row r="138" spans="1:52" s="4" customFormat="1" x14ac:dyDescent="0.25">
      <c r="A138" s="3" t="str">
        <f>"Number of Even Chapters: "&amp;R116</f>
        <v>Number of Even Chapters: 57</v>
      </c>
    </row>
    <row r="139" spans="1:52" s="4" customFormat="1" x14ac:dyDescent="0.25">
      <c r="A139" s="3" t="str">
        <f>"Number of Odd Verses: "&amp;S116</f>
        <v>Number of Odd Verses: 54</v>
      </c>
    </row>
    <row r="140" spans="1:52" s="4" customFormat="1" x14ac:dyDescent="0.25">
      <c r="A140" s="3" t="str">
        <f>"Number of Even Verses: "&amp;T116</f>
        <v>Number of Even Verses: 60</v>
      </c>
    </row>
    <row r="141" spans="1:52" s="4" customFormat="1" x14ac:dyDescent="0.25">
      <c r="A141" s="3"/>
    </row>
    <row r="142" spans="1:52" s="4" customFormat="1" x14ac:dyDescent="0.25">
      <c r="A142" s="3" t="str">
        <f>"Number of Homogenous Chapters (Both Odd or Both Even): "&amp;Y116</f>
        <v>Number of Homogenous Chapters (Both Odd or Both Even): 57</v>
      </c>
    </row>
    <row r="143" spans="1:52" s="4" customFormat="1" x14ac:dyDescent="0.25">
      <c r="A143" s="3" t="str">
        <f>"          Odd Chapter, Odd Verse: "&amp;AA116</f>
        <v xml:space="preserve">          Odd Chapter, Odd Verse: 27</v>
      </c>
    </row>
    <row r="144" spans="1:52" s="4" customFormat="1" x14ac:dyDescent="0.25">
      <c r="A144" s="3" t="str">
        <f>"          Even Chapter, Even Verse: "&amp;AC116</f>
        <v xml:space="preserve">          Even Chapter, Even Verse: 30</v>
      </c>
    </row>
    <row r="145" spans="1:1" s="4" customFormat="1" x14ac:dyDescent="0.25">
      <c r="A145" s="3" t="str">
        <f>"Number of Heterogeneous Chapters (One is Odd and the other is Even): "&amp;Z116</f>
        <v>Number of Heterogeneous Chapters (One is Odd and the other is Even): 57</v>
      </c>
    </row>
    <row r="146" spans="1:1" s="4" customFormat="1" x14ac:dyDescent="0.25">
      <c r="A146" s="3" t="str">
        <f>"          Odd Chapter, Even Verse: "&amp;AD116</f>
        <v xml:space="preserve">          Odd Chapter, Even Verse: 30</v>
      </c>
    </row>
    <row r="147" spans="1:1" s="4" customFormat="1" x14ac:dyDescent="0.25">
      <c r="A147" s="3" t="str">
        <f>"          Even Chapter, Odd Verse: "&amp;AB116</f>
        <v xml:space="preserve">          Even Chapter, Odd Verse: 27</v>
      </c>
    </row>
    <row r="148" spans="1:1" s="4" customFormat="1" x14ac:dyDescent="0.25">
      <c r="A148" s="3"/>
    </row>
    <row r="149" spans="1:1" s="4" customFormat="1" x14ac:dyDescent="0.25">
      <c r="A149" s="3" t="str">
        <f>"Sum of Chapter and Verse Sums: "&amp;AF116&amp;" ("&amp;IF(ISPRIME(AF116), "Prime Number", "Not a Prime Number")&amp;")"</f>
        <v>Sum of Chapter and Verse Sums: 12791 (Prime Number)</v>
      </c>
    </row>
    <row r="150" spans="1:1" s="4" customFormat="1" x14ac:dyDescent="0.25">
      <c r="A150" s="3" t="str">
        <f>"          Number of Odd Sums: "&amp;AG116</f>
        <v xml:space="preserve">          Number of Odd Sums: 57</v>
      </c>
    </row>
    <row r="151" spans="1:1" s="4" customFormat="1" x14ac:dyDescent="0.25">
      <c r="A151" s="3" t="str">
        <f>"          Number of Even Sums: "&amp;AH116</f>
        <v xml:space="preserve">          Number of Even Sums: 57</v>
      </c>
    </row>
    <row r="152" spans="1:1" s="4" customFormat="1" x14ac:dyDescent="0.25">
      <c r="A152" s="3" t="str">
        <f>"          Sum of Odd Sums: "&amp;AI116</f>
        <v xml:space="preserve">          Sum of Odd Sums: 6555</v>
      </c>
    </row>
    <row r="153" spans="1:1" s="4" customFormat="1" x14ac:dyDescent="0.25">
      <c r="A153" s="3" t="str">
        <f>"          Sum of Even Sums: "&amp;AJ116</f>
        <v xml:space="preserve">          Sum of Even Sums: 6236</v>
      </c>
    </row>
    <row r="154" spans="1:1" s="4" customFormat="1" x14ac:dyDescent="0.25">
      <c r="A154" s="3"/>
    </row>
    <row r="155" spans="1:1" s="4" customFormat="1" x14ac:dyDescent="0.25">
      <c r="A155" s="3" t="str">
        <f>"          Sum of Even Sum Chapters: "&amp;AP116</f>
        <v xml:space="preserve">          Sum of Even Sum Chapters: 3303</v>
      </c>
    </row>
    <row r="156" spans="1:1" s="4" customFormat="1" x14ac:dyDescent="0.25">
      <c r="A156" s="3" t="str">
        <f>"          Sum of Odd Sum Verses: "&amp;AQ116</f>
        <v xml:space="preserve">          Sum of Odd Sum Verses: 3303</v>
      </c>
    </row>
    <row r="157" spans="1:1" s="4" customFormat="1" x14ac:dyDescent="0.25">
      <c r="A157" s="3"/>
    </row>
    <row r="158" spans="1:1" s="4" customFormat="1" x14ac:dyDescent="0.25">
      <c r="A158" s="3" t="str">
        <f>"Halfway Chapter: "&amp;B58</f>
        <v>Halfway Chapter: 57</v>
      </c>
    </row>
    <row r="159" spans="1:1" s="4" customFormat="1" x14ac:dyDescent="0.25">
      <c r="A159" s="3" t="str">
        <f>"Number of Verses in Halfway Chapter: "&amp;C58</f>
        <v>Number of Verses in Halfway Chapter: 29</v>
      </c>
    </row>
    <row r="160" spans="1:1" s="4" customFormat="1" x14ac:dyDescent="0.25">
      <c r="A160" s="3" t="str">
        <f>"Mean Chapter: "&amp;INT(AVERAGE(B2:B115))</f>
        <v>Mean Chapter: 57</v>
      </c>
    </row>
    <row r="161" spans="1:1" s="4" customFormat="1" x14ac:dyDescent="0.25">
      <c r="A161" s="3" t="str">
        <f>"Median Verse of Mean Chapter: "&amp;MEDIAN(B2:B58)</f>
        <v>Median Verse of Mean Chapter: 29</v>
      </c>
    </row>
    <row r="162" spans="1:1" s="4" customFormat="1" x14ac:dyDescent="0.25">
      <c r="A162" s="3"/>
    </row>
    <row r="163" spans="1:1" s="4" customFormat="1" x14ac:dyDescent="0.25">
      <c r="A163" s="3" t="str">
        <f>"Chapter Sum to Halfway Chapter: "&amp;SUM(B2:B58)</f>
        <v>Chapter Sum to Halfway Chapter: 1653</v>
      </c>
    </row>
    <row r="164" spans="1:1" s="4" customFormat="1" x14ac:dyDescent="0.25">
      <c r="A164" s="3" t="str">
        <f>"Halfway Chapter times its Verse Number: "&amp;B58*C58</f>
        <v>Halfway Chapter times its Verse Number: 1653</v>
      </c>
    </row>
    <row r="165" spans="1:1" s="4" customFormat="1" x14ac:dyDescent="0.25">
      <c r="A165" s="3" t="str">
        <f>"          Number of Odd Chapters in First Half: "&amp;SUMPRODUCT((Q2:Q58)+0)</f>
        <v xml:space="preserve">          Number of Odd Chapters in First Half: 29</v>
      </c>
    </row>
    <row r="166" spans="1:1" s="4" customFormat="1" x14ac:dyDescent="0.25">
      <c r="A166" s="3" t="str">
        <f>"          Number of Even Chapters in First Half: "&amp;SUMPRODUCT((R2:R58)+0)</f>
        <v xml:space="preserve">          Number of Even Chapters in First Half: 28</v>
      </c>
    </row>
    <row r="167" spans="1:1" s="4" customFormat="1" x14ac:dyDescent="0.25">
      <c r="A167" s="3" t="str">
        <f>"          Number of Odd Chapters in Second Half: "&amp;SUMPRODUCT((Q59:Q115)+0)</f>
        <v xml:space="preserve">          Number of Odd Chapters in Second Half: 28</v>
      </c>
    </row>
    <row r="168" spans="1:1" s="4" customFormat="1" x14ac:dyDescent="0.25">
      <c r="A168" s="3" t="str">
        <f>"          Number of Even Chapters in Second Half: "&amp;SUMPRODUCT((R59:R115)+0)</f>
        <v xml:space="preserve">          Number of Even Chapters in Second Half: 29</v>
      </c>
    </row>
    <row r="169" spans="1:1" s="4" customFormat="1" x14ac:dyDescent="0.25">
      <c r="A169" s="3"/>
    </row>
    <row r="170" spans="1:1" s="4" customFormat="1" x14ac:dyDescent="0.25">
      <c r="A170" s="3" t="str">
        <f>"          Number of Odd Verses in First Half: "&amp;SUMPRODUCT((S2:S58)+0)</f>
        <v xml:space="preserve">          Number of Odd Verses in First Half: 30</v>
      </c>
    </row>
    <row r="171" spans="1:1" s="4" customFormat="1" x14ac:dyDescent="0.25">
      <c r="A171" s="3" t="str">
        <f>"          Number of Even Verses in First Half: "&amp;SUMPRODUCT((T2:T58)+0)</f>
        <v xml:space="preserve">          Number of Even Verses in First Half: 27</v>
      </c>
    </row>
    <row r="172" spans="1:1" s="4" customFormat="1" x14ac:dyDescent="0.25">
      <c r="A172" s="3" t="str">
        <f>"          Number of Odd Verses in Second Half: "&amp;SUMPRODUCT((S59:S115)+0)</f>
        <v xml:space="preserve">          Number of Odd Verses in Second Half: 24</v>
      </c>
    </row>
    <row r="173" spans="1:1" s="4" customFormat="1" x14ac:dyDescent="0.25">
      <c r="A173" s="3" t="str">
        <f>"          Number of Even Verses in Second Half: "&amp;SUMPRODUCT((T59:T115)+0)</f>
        <v xml:space="preserve">          Number of Even Verses in Second Half: 33</v>
      </c>
    </row>
    <row r="174" spans="1:1" s="4" customFormat="1" x14ac:dyDescent="0.25">
      <c r="A174" s="3"/>
    </row>
    <row r="175" spans="1:1" s="4" customFormat="1" x14ac:dyDescent="0.25">
      <c r="A175" s="3" t="str">
        <f>"          Number of Homogeneous Chapters in First Half: "&amp;SUMPRODUCT((Y2:Y58)+0)</f>
        <v xml:space="preserve">          Number of Homogeneous Chapters in First Half: 28</v>
      </c>
    </row>
    <row r="176" spans="1:1" s="4" customFormat="1" x14ac:dyDescent="0.25">
      <c r="A176" s="3" t="str">
        <f>"          Number of Heterogeneous Chapters in First Half: "&amp;SUMPRODUCT((Z2:Z58)+0)</f>
        <v xml:space="preserve">          Number of Heterogeneous Chapters in First Half: 29</v>
      </c>
    </row>
    <row r="177" spans="1:1" s="4" customFormat="1" x14ac:dyDescent="0.25">
      <c r="A177" s="3" t="str">
        <f>"          Number of Homogeneous Chapters in Second Half: "&amp;SUMPRODUCT((Y59:Y115)+0)</f>
        <v xml:space="preserve">          Number of Homogeneous Chapters in Second Half: 29</v>
      </c>
    </row>
    <row r="178" spans="1:1" s="4" customFormat="1" x14ac:dyDescent="0.25">
      <c r="A178" s="3" t="str">
        <f>"          Number of Heterogeneous Chapters in Second Half: "&amp;SUMPRODUCT((Z59:Z115)+0)</f>
        <v xml:space="preserve">          Number of Heterogeneous Chapters in Second Half: 28</v>
      </c>
    </row>
    <row r="179" spans="1:1" s="4" customFormat="1" x14ac:dyDescent="0.25">
      <c r="A179" s="3"/>
    </row>
    <row r="180" spans="1:1" s="4" customFormat="1" x14ac:dyDescent="0.25">
      <c r="A180" s="3" t="str">
        <f>"          Number of Odd Sums in First Half: "&amp;SUMPRODUCT((AG2:AG58)+0)</f>
        <v xml:space="preserve">          Number of Odd Sums in First Half: 29</v>
      </c>
    </row>
    <row r="181" spans="1:1" s="4" customFormat="1" x14ac:dyDescent="0.25">
      <c r="A181" s="3" t="str">
        <f>"          Number of Even Sums in First Half: "&amp;SUMPRODUCT((AH2:AH58)+0)</f>
        <v xml:space="preserve">          Number of Even Sums in First Half: 28</v>
      </c>
    </row>
    <row r="182" spans="1:1" s="4" customFormat="1" x14ac:dyDescent="0.25">
      <c r="A182" s="3" t="str">
        <f>"          Number of Odd Sums in Second Half: "&amp;SUMPRODUCT((AG59:AG115)+0)</f>
        <v xml:space="preserve">          Number of Odd Sums in Second Half: 28</v>
      </c>
    </row>
    <row r="183" spans="1:1" s="4" customFormat="1" x14ac:dyDescent="0.25">
      <c r="A183" s="3" t="str">
        <f>"          Number of Even Sums in Second Half: "&amp;SUMPRODUCT((AH59:AH115)+0)</f>
        <v xml:space="preserve">          Number of Even Sums in Second Half: 29</v>
      </c>
    </row>
    <row r="184" spans="1:1" s="4" customFormat="1" x14ac:dyDescent="0.25">
      <c r="A184" s="3"/>
    </row>
    <row r="185" spans="1:1" s="4" customFormat="1" x14ac:dyDescent="0.25">
      <c r="A185" s="3"/>
    </row>
    <row r="186" spans="1:1" s="4" customFormat="1" x14ac:dyDescent="0.25">
      <c r="A186" s="3"/>
    </row>
    <row r="187" spans="1:1" s="4" customFormat="1" x14ac:dyDescent="0.25">
      <c r="A187" s="3"/>
    </row>
    <row r="188" spans="1:1" s="4" customFormat="1" x14ac:dyDescent="0.25">
      <c r="A188" s="3"/>
    </row>
    <row r="189" spans="1:1" s="4" customFormat="1" x14ac:dyDescent="0.25">
      <c r="A189" s="3"/>
    </row>
    <row r="190" spans="1:1" s="4" customFormat="1" x14ac:dyDescent="0.25">
      <c r="A190" s="3"/>
    </row>
    <row r="191" spans="1:1" s="4" customFormat="1" x14ac:dyDescent="0.25">
      <c r="A191" s="3"/>
    </row>
    <row r="192" spans="1:1" s="4" customFormat="1" x14ac:dyDescent="0.25">
      <c r="A192" s="3"/>
    </row>
    <row r="193" spans="1:1" s="4" customFormat="1" x14ac:dyDescent="0.25">
      <c r="A193" s="3"/>
    </row>
    <row r="194" spans="1:1" s="4" customFormat="1" x14ac:dyDescent="0.25">
      <c r="A194" s="3"/>
    </row>
    <row r="195" spans="1:1" s="4" customFormat="1" x14ac:dyDescent="0.25">
      <c r="A195" s="3"/>
    </row>
    <row r="196" spans="1:1" s="4" customFormat="1" x14ac:dyDescent="0.25">
      <c r="A196" s="3"/>
    </row>
    <row r="197" spans="1:1" s="4" customFormat="1" x14ac:dyDescent="0.25">
      <c r="A197" s="3"/>
    </row>
    <row r="198" spans="1:1" s="4" customFormat="1" x14ac:dyDescent="0.25">
      <c r="A198" s="3"/>
    </row>
    <row r="199" spans="1:1" s="4" customFormat="1" x14ac:dyDescent="0.25">
      <c r="A199" s="3"/>
    </row>
    <row r="200" spans="1:1" s="4" customFormat="1" x14ac:dyDescent="0.25">
      <c r="A200" s="3"/>
    </row>
    <row r="201" spans="1:1" s="4" customFormat="1" x14ac:dyDescent="0.25">
      <c r="A201" s="3"/>
    </row>
    <row r="202" spans="1:1" s="4" customFormat="1" x14ac:dyDescent="0.25">
      <c r="A202" s="3"/>
    </row>
    <row r="203" spans="1:1" s="4" customFormat="1" x14ac:dyDescent="0.25">
      <c r="A203" s="3"/>
    </row>
    <row r="204" spans="1:1" s="4" customFormat="1" x14ac:dyDescent="0.25">
      <c r="A204" s="3"/>
    </row>
    <row r="205" spans="1:1" s="4" customFormat="1" x14ac:dyDescent="0.25">
      <c r="A205" s="3"/>
    </row>
    <row r="206" spans="1:1" s="4" customFormat="1" x14ac:dyDescent="0.25">
      <c r="A206" s="3"/>
    </row>
    <row r="207" spans="1:1" s="4" customFormat="1" x14ac:dyDescent="0.25">
      <c r="A207" s="3"/>
    </row>
    <row r="208" spans="1:1" s="4" customFormat="1" x14ac:dyDescent="0.25">
      <c r="A208" s="3"/>
    </row>
    <row r="209" spans="1:1" s="4" customFormat="1" x14ac:dyDescent="0.25">
      <c r="A209" s="3"/>
    </row>
    <row r="210" spans="1:1" s="4" customFormat="1" x14ac:dyDescent="0.25">
      <c r="A210" s="3"/>
    </row>
    <row r="211" spans="1:1" s="4" customFormat="1" x14ac:dyDescent="0.25">
      <c r="A211" s="3"/>
    </row>
    <row r="212" spans="1:1" s="4" customFormat="1" x14ac:dyDescent="0.25">
      <c r="A212" s="3"/>
    </row>
    <row r="213" spans="1:1" s="4" customFormat="1" x14ac:dyDescent="0.25">
      <c r="A213" s="3"/>
    </row>
    <row r="214" spans="1:1" s="4" customFormat="1" x14ac:dyDescent="0.25">
      <c r="A214" s="3"/>
    </row>
    <row r="215" spans="1:1" s="4" customFormat="1" x14ac:dyDescent="0.25">
      <c r="A215" s="3"/>
    </row>
    <row r="216" spans="1:1" s="4" customFormat="1" x14ac:dyDescent="0.25">
      <c r="A216" s="3"/>
    </row>
    <row r="217" spans="1:1" s="4" customFormat="1" x14ac:dyDescent="0.25">
      <c r="A217" s="3"/>
    </row>
    <row r="218" spans="1:1" s="4" customFormat="1" x14ac:dyDescent="0.25">
      <c r="A218" s="3"/>
    </row>
    <row r="219" spans="1:1" s="4" customFormat="1" x14ac:dyDescent="0.25">
      <c r="A219" s="3"/>
    </row>
  </sheetData>
  <pageMargins left="0.7" right="0.7" top="0.75" bottom="0.75" header="0.3" footer="0.3"/>
  <pageSetup orientation="portrait" r:id="rId1"/>
  <ignoredErrors>
    <ignoredError sqref="A163 A161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2018-07-21T21:15:24Z</dcterms:created>
  <dcterms:modified xsi:type="dcterms:W3CDTF">2018-08-09T07:52:29Z</dcterms:modified>
</cp:coreProperties>
</file>