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SharpDevelop Projects\Quran Word Search\Quran Word Search\Files\Research\"/>
    </mc:Choice>
  </mc:AlternateContent>
  <xr:revisionPtr revIDLastSave="0" documentId="13_ncr:1_{9580973C-3031-4592-9881-92CA56881481}" xr6:coauthVersionLast="34" xr6:coauthVersionMax="34" xr10:uidLastSave="{00000000-0000-0000-0000-000000000000}"/>
  <bookViews>
    <workbookView xWindow="0" yWindow="0" windowWidth="10860" windowHeight="4920" xr2:uid="{8CFF2E1E-A0E7-409F-A868-20EFEA71E60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" i="1" l="1"/>
  <c r="A147" i="1"/>
  <c r="A149" i="1"/>
  <c r="A146" i="1"/>
  <c r="A148" i="1"/>
  <c r="A151" i="1"/>
  <c r="T10" i="1"/>
  <c r="AD10" i="1" s="1"/>
  <c r="T2" i="1"/>
  <c r="T3" i="1"/>
  <c r="AA3" i="1" s="1"/>
  <c r="T4" i="1"/>
  <c r="T5" i="1"/>
  <c r="AE5" i="1" s="1"/>
  <c r="T6" i="1"/>
  <c r="AA6" i="1" s="1"/>
  <c r="T7" i="1"/>
  <c r="Z7" i="1" s="1"/>
  <c r="T8" i="1"/>
  <c r="AA8" i="1" s="1"/>
  <c r="T9" i="1"/>
  <c r="T11" i="1"/>
  <c r="AA11" i="1" s="1"/>
  <c r="T12" i="1"/>
  <c r="T13" i="1"/>
  <c r="AE13" i="1" s="1"/>
  <c r="T14" i="1"/>
  <c r="Z14" i="1" s="1"/>
  <c r="T15" i="1"/>
  <c r="AA15" i="1" s="1"/>
  <c r="T16" i="1"/>
  <c r="T17" i="1"/>
  <c r="Z17" i="1" s="1"/>
  <c r="T18" i="1"/>
  <c r="T19" i="1"/>
  <c r="T20" i="1"/>
  <c r="T21" i="1"/>
  <c r="AE21" i="1" s="1"/>
  <c r="T22" i="1"/>
  <c r="T23" i="1"/>
  <c r="Z23" i="1" s="1"/>
  <c r="T24" i="1"/>
  <c r="T25" i="1"/>
  <c r="T26" i="1"/>
  <c r="T27" i="1"/>
  <c r="AH27" i="1" s="1"/>
  <c r="T28" i="1"/>
  <c r="T29" i="1"/>
  <c r="T30" i="1"/>
  <c r="T31" i="1"/>
  <c r="T32" i="1"/>
  <c r="T33" i="1"/>
  <c r="T34" i="1"/>
  <c r="T35" i="1"/>
  <c r="T36" i="1"/>
  <c r="T37" i="1"/>
  <c r="T38" i="1"/>
  <c r="T39" i="1"/>
  <c r="Z39" i="1" s="1"/>
  <c r="T40" i="1"/>
  <c r="T41" i="1"/>
  <c r="T42" i="1"/>
  <c r="T43" i="1"/>
  <c r="T44" i="1"/>
  <c r="T45" i="1"/>
  <c r="T46" i="1"/>
  <c r="T47" i="1"/>
  <c r="AC47" i="1" s="1"/>
  <c r="T48" i="1"/>
  <c r="T49" i="1"/>
  <c r="T50" i="1"/>
  <c r="T51" i="1"/>
  <c r="T52" i="1"/>
  <c r="T53" i="1"/>
  <c r="T54" i="1"/>
  <c r="AA54" i="1" s="1"/>
  <c r="T55" i="1"/>
  <c r="T56" i="1"/>
  <c r="T57" i="1"/>
  <c r="AA57" i="1" s="1"/>
  <c r="T58" i="1"/>
  <c r="AD58" i="1" s="1"/>
  <c r="T59" i="1"/>
  <c r="T60" i="1"/>
  <c r="T61" i="1"/>
  <c r="T62" i="1"/>
  <c r="T63" i="1"/>
  <c r="Z63" i="1" s="1"/>
  <c r="T64" i="1"/>
  <c r="T65" i="1"/>
  <c r="T66" i="1"/>
  <c r="AD66" i="1" s="1"/>
  <c r="T67" i="1"/>
  <c r="T68" i="1"/>
  <c r="T69" i="1"/>
  <c r="AE69" i="1" s="1"/>
  <c r="T70" i="1"/>
  <c r="T71" i="1"/>
  <c r="Z71" i="1" s="1"/>
  <c r="T72" i="1"/>
  <c r="T73" i="1"/>
  <c r="T74" i="1"/>
  <c r="AD74" i="1" s="1"/>
  <c r="T75" i="1"/>
  <c r="AA75" i="1" s="1"/>
  <c r="T76" i="1"/>
  <c r="T77" i="1"/>
  <c r="AE77" i="1" s="1"/>
  <c r="T78" i="1"/>
  <c r="T79" i="1"/>
  <c r="AA79" i="1" s="1"/>
  <c r="T80" i="1"/>
  <c r="T81" i="1"/>
  <c r="T82" i="1"/>
  <c r="T83" i="1"/>
  <c r="T84" i="1"/>
  <c r="T85" i="1"/>
  <c r="AE85" i="1" s="1"/>
  <c r="T86" i="1"/>
  <c r="T87" i="1"/>
  <c r="T88" i="1"/>
  <c r="T89" i="1"/>
  <c r="AA89" i="1" s="1"/>
  <c r="T90" i="1"/>
  <c r="T91" i="1"/>
  <c r="AH91" i="1" s="1"/>
  <c r="T92" i="1"/>
  <c r="T93" i="1"/>
  <c r="T94" i="1"/>
  <c r="Z94" i="1" s="1"/>
  <c r="T95" i="1"/>
  <c r="T96" i="1"/>
  <c r="T97" i="1"/>
  <c r="Z97" i="1" s="1"/>
  <c r="T98" i="1"/>
  <c r="T99" i="1"/>
  <c r="T100" i="1"/>
  <c r="T101" i="1"/>
  <c r="T102" i="1"/>
  <c r="T103" i="1"/>
  <c r="Z103" i="1" s="1"/>
  <c r="T104" i="1"/>
  <c r="T105" i="1"/>
  <c r="Z105" i="1" s="1"/>
  <c r="T106" i="1"/>
  <c r="T107" i="1"/>
  <c r="T108" i="1"/>
  <c r="T109" i="1"/>
  <c r="T110" i="1"/>
  <c r="T111" i="1"/>
  <c r="AC111" i="1" s="1"/>
  <c r="T112" i="1"/>
  <c r="T113" i="1"/>
  <c r="T114" i="1"/>
  <c r="T115" i="1"/>
  <c r="AA4" i="1"/>
  <c r="AA60" i="1"/>
  <c r="Z22" i="1"/>
  <c r="Z77" i="1"/>
  <c r="Z8" i="1" l="1"/>
  <c r="AA96" i="1"/>
  <c r="AA40" i="1"/>
  <c r="AA32" i="1"/>
  <c r="Z64" i="1"/>
  <c r="Z56" i="1"/>
  <c r="AA88" i="1"/>
  <c r="Z96" i="1"/>
  <c r="Z40" i="1"/>
  <c r="AA72" i="1"/>
  <c r="AA16" i="1"/>
  <c r="Z104" i="1"/>
  <c r="AA24" i="1"/>
  <c r="AA64" i="1"/>
  <c r="Z80" i="1"/>
  <c r="Z24" i="1"/>
  <c r="Z48" i="1"/>
  <c r="Z88" i="1"/>
  <c r="AA56" i="1"/>
  <c r="Z32" i="1"/>
  <c r="Z72" i="1"/>
  <c r="Z16" i="1"/>
  <c r="AA48" i="1"/>
  <c r="AA112" i="1"/>
  <c r="Z112" i="1"/>
  <c r="Z109" i="1"/>
  <c r="AA80" i="1"/>
  <c r="AA67" i="1"/>
  <c r="Z44" i="1"/>
  <c r="Z36" i="1"/>
  <c r="Z68" i="1"/>
  <c r="Z108" i="1"/>
  <c r="Z60" i="1"/>
  <c r="Z115" i="1"/>
  <c r="AA59" i="1"/>
  <c r="Z83" i="1"/>
  <c r="Z27" i="1"/>
  <c r="AA27" i="1"/>
  <c r="Z3" i="1"/>
  <c r="Z51" i="1"/>
  <c r="AA19" i="1"/>
  <c r="Z35" i="1"/>
  <c r="AA51" i="1"/>
  <c r="Z91" i="1"/>
  <c r="Z107" i="1"/>
  <c r="Z75" i="1"/>
  <c r="Z19" i="1"/>
  <c r="AA43" i="1"/>
  <c r="AA30" i="1"/>
  <c r="AA104" i="1"/>
  <c r="Z20" i="1"/>
  <c r="AA28" i="1"/>
  <c r="AA22" i="1"/>
  <c r="AA20" i="1"/>
  <c r="Z52" i="1"/>
  <c r="Z12" i="1"/>
  <c r="AA14" i="1"/>
  <c r="Z78" i="1"/>
  <c r="Z76" i="1"/>
  <c r="Z28" i="1"/>
  <c r="AA78" i="1"/>
  <c r="AA12" i="1"/>
  <c r="AA86" i="1"/>
  <c r="Z92" i="1"/>
  <c r="Z4" i="1"/>
  <c r="AA76" i="1"/>
  <c r="AA62" i="1"/>
  <c r="Z46" i="1"/>
  <c r="AA36" i="1"/>
  <c r="AA46" i="1"/>
  <c r="Z53" i="1"/>
  <c r="Z29" i="1"/>
  <c r="Z93" i="1"/>
  <c r="Z61" i="1"/>
  <c r="Z45" i="1"/>
  <c r="Z13" i="1"/>
  <c r="AA108" i="1"/>
  <c r="AA61" i="1"/>
  <c r="AA44" i="1"/>
  <c r="AA21" i="1"/>
  <c r="Z37" i="1"/>
  <c r="Z5" i="1"/>
  <c r="AA100" i="1"/>
  <c r="AA13" i="1"/>
  <c r="AA77" i="1"/>
  <c r="Z85" i="1"/>
  <c r="AA37" i="1"/>
  <c r="Z21" i="1"/>
  <c r="AA53" i="1"/>
  <c r="Z101" i="1"/>
  <c r="Z84" i="1"/>
  <c r="Z69" i="1"/>
  <c r="AA92" i="1"/>
  <c r="AA68" i="1"/>
  <c r="AA52" i="1"/>
  <c r="AA29" i="1"/>
  <c r="AA101" i="1"/>
  <c r="Z100" i="1"/>
  <c r="AA115" i="1"/>
  <c r="AA84" i="1"/>
  <c r="AA45" i="1"/>
  <c r="AA5" i="1"/>
  <c r="AA91" i="1"/>
  <c r="AA17" i="1"/>
  <c r="AA71" i="1"/>
  <c r="AA7" i="1"/>
  <c r="AA50" i="1"/>
  <c r="AA85" i="1"/>
  <c r="AA69" i="1"/>
  <c r="AA55" i="1"/>
  <c r="AA39" i="1"/>
  <c r="AC55" i="1"/>
  <c r="AD106" i="1"/>
  <c r="AA102" i="1"/>
  <c r="AD42" i="1"/>
  <c r="Z111" i="1"/>
  <c r="Z55" i="1"/>
  <c r="Z15" i="1"/>
  <c r="AE93" i="1"/>
  <c r="AA95" i="1"/>
  <c r="AA47" i="1"/>
  <c r="AE29" i="1"/>
  <c r="Z95" i="1"/>
  <c r="AA111" i="1"/>
  <c r="AA93" i="1"/>
  <c r="Y53" i="1"/>
  <c r="Z79" i="1"/>
  <c r="AA109" i="1"/>
  <c r="AA99" i="1"/>
  <c r="AG97" i="1"/>
  <c r="AI97" i="1"/>
  <c r="Y97" i="1"/>
  <c r="AH97" i="1"/>
  <c r="AF97" i="1"/>
  <c r="AC97" i="1"/>
  <c r="AJ97" i="1"/>
  <c r="AE97" i="1"/>
  <c r="AD97" i="1"/>
  <c r="AG73" i="1"/>
  <c r="AI73" i="1"/>
  <c r="Y73" i="1"/>
  <c r="AH73" i="1"/>
  <c r="AF73" i="1"/>
  <c r="AJ73" i="1"/>
  <c r="AC73" i="1"/>
  <c r="AE73" i="1"/>
  <c r="AD73" i="1"/>
  <c r="AG25" i="1"/>
  <c r="AI25" i="1"/>
  <c r="Y25" i="1"/>
  <c r="AH25" i="1"/>
  <c r="AF25" i="1"/>
  <c r="AC25" i="1"/>
  <c r="AJ25" i="1"/>
  <c r="AE25" i="1"/>
  <c r="AD25" i="1"/>
  <c r="Z113" i="1"/>
  <c r="Z59" i="1"/>
  <c r="Z47" i="1"/>
  <c r="AA107" i="1"/>
  <c r="AA94" i="1"/>
  <c r="AA31" i="1"/>
  <c r="AA83" i="1"/>
  <c r="AI112" i="1"/>
  <c r="Y112" i="1"/>
  <c r="AH112" i="1"/>
  <c r="AJ112" i="1"/>
  <c r="AG112" i="1"/>
  <c r="AC112" i="1"/>
  <c r="AE112" i="1"/>
  <c r="AD112" i="1"/>
  <c r="AI104" i="1"/>
  <c r="Y104" i="1"/>
  <c r="AH104" i="1"/>
  <c r="AF104" i="1"/>
  <c r="AJ104" i="1"/>
  <c r="AC104" i="1"/>
  <c r="AE104" i="1"/>
  <c r="AD104" i="1"/>
  <c r="AI96" i="1"/>
  <c r="Y96" i="1"/>
  <c r="AH96" i="1"/>
  <c r="AF96" i="1"/>
  <c r="AJ96" i="1"/>
  <c r="AC96" i="1"/>
  <c r="AE96" i="1"/>
  <c r="AD96" i="1"/>
  <c r="AG96" i="1"/>
  <c r="AI88" i="1"/>
  <c r="Y88" i="1"/>
  <c r="AH88" i="1"/>
  <c r="AF88" i="1"/>
  <c r="AJ88" i="1"/>
  <c r="AC88" i="1"/>
  <c r="AE88" i="1"/>
  <c r="AG88" i="1"/>
  <c r="AD88" i="1"/>
  <c r="AI80" i="1"/>
  <c r="Y80" i="1"/>
  <c r="AH80" i="1"/>
  <c r="AF80" i="1"/>
  <c r="AJ80" i="1"/>
  <c r="AC80" i="1"/>
  <c r="AE80" i="1"/>
  <c r="AG80" i="1"/>
  <c r="AD80" i="1"/>
  <c r="AI72" i="1"/>
  <c r="Y72" i="1"/>
  <c r="AH72" i="1"/>
  <c r="AF72" i="1"/>
  <c r="AJ72" i="1"/>
  <c r="AC72" i="1"/>
  <c r="AE72" i="1"/>
  <c r="AG72" i="1"/>
  <c r="AD72" i="1"/>
  <c r="AI64" i="1"/>
  <c r="Y64" i="1"/>
  <c r="AH64" i="1"/>
  <c r="AF64" i="1"/>
  <c r="AJ64" i="1"/>
  <c r="AC64" i="1"/>
  <c r="AG64" i="1"/>
  <c r="AE64" i="1"/>
  <c r="AD64" i="1"/>
  <c r="AI56" i="1"/>
  <c r="Y56" i="1"/>
  <c r="AH56" i="1"/>
  <c r="AF56" i="1"/>
  <c r="AJ56" i="1"/>
  <c r="AC56" i="1"/>
  <c r="AG56" i="1"/>
  <c r="AE56" i="1"/>
  <c r="AD56" i="1"/>
  <c r="AI48" i="1"/>
  <c r="Y48" i="1"/>
  <c r="AH48" i="1"/>
  <c r="AF48" i="1"/>
  <c r="AJ48" i="1"/>
  <c r="AG48" i="1"/>
  <c r="AC48" i="1"/>
  <c r="AE48" i="1"/>
  <c r="AD48" i="1"/>
  <c r="AI40" i="1"/>
  <c r="Y40" i="1"/>
  <c r="AH40" i="1"/>
  <c r="AF40" i="1"/>
  <c r="AJ40" i="1"/>
  <c r="AC40" i="1"/>
  <c r="AE40" i="1"/>
  <c r="AD40" i="1"/>
  <c r="AI32" i="1"/>
  <c r="Y32" i="1"/>
  <c r="AH32" i="1"/>
  <c r="AF32" i="1"/>
  <c r="AJ32" i="1"/>
  <c r="AC32" i="1"/>
  <c r="AE32" i="1"/>
  <c r="AD32" i="1"/>
  <c r="AG32" i="1"/>
  <c r="AI24" i="1"/>
  <c r="Y24" i="1"/>
  <c r="AH24" i="1"/>
  <c r="AF24" i="1"/>
  <c r="AJ24" i="1"/>
  <c r="AC24" i="1"/>
  <c r="AE24" i="1"/>
  <c r="AG24" i="1"/>
  <c r="AD24" i="1"/>
  <c r="AI16" i="1"/>
  <c r="Y16" i="1"/>
  <c r="AH16" i="1"/>
  <c r="AF16" i="1"/>
  <c r="AJ16" i="1"/>
  <c r="AC16" i="1"/>
  <c r="AE16" i="1"/>
  <c r="AG16" i="1"/>
  <c r="AD16" i="1"/>
  <c r="AI8" i="1"/>
  <c r="Y8" i="1"/>
  <c r="AH8" i="1"/>
  <c r="AF8" i="1"/>
  <c r="AJ8" i="1"/>
  <c r="AC8" i="1"/>
  <c r="AE8" i="1"/>
  <c r="AG8" i="1"/>
  <c r="AD8" i="1"/>
  <c r="AD98" i="1"/>
  <c r="AD34" i="1"/>
  <c r="AG104" i="1"/>
  <c r="AG105" i="1"/>
  <c r="AI105" i="1"/>
  <c r="Y105" i="1"/>
  <c r="AH105" i="1"/>
  <c r="AF105" i="1"/>
  <c r="AC105" i="1"/>
  <c r="AE105" i="1"/>
  <c r="AJ105" i="1"/>
  <c r="AD105" i="1"/>
  <c r="AG57" i="1"/>
  <c r="AI57" i="1"/>
  <c r="Y57" i="1"/>
  <c r="AH57" i="1"/>
  <c r="AF57" i="1"/>
  <c r="AC57" i="1"/>
  <c r="AE57" i="1"/>
  <c r="AJ57" i="1"/>
  <c r="AD57" i="1"/>
  <c r="AG17" i="1"/>
  <c r="AI17" i="1"/>
  <c r="Y17" i="1"/>
  <c r="AH17" i="1"/>
  <c r="AF17" i="1"/>
  <c r="AJ17" i="1"/>
  <c r="AC17" i="1"/>
  <c r="AE17" i="1"/>
  <c r="AD17" i="1"/>
  <c r="AI111" i="1"/>
  <c r="Y111" i="1"/>
  <c r="AH111" i="1"/>
  <c r="AJ111" i="1"/>
  <c r="AG111" i="1"/>
  <c r="AE111" i="1"/>
  <c r="AD111" i="1"/>
  <c r="AF111" i="1"/>
  <c r="AI103" i="1"/>
  <c r="Y103" i="1"/>
  <c r="AH103" i="1"/>
  <c r="AF103" i="1"/>
  <c r="AJ103" i="1"/>
  <c r="AG103" i="1"/>
  <c r="AE103" i="1"/>
  <c r="AD103" i="1"/>
  <c r="AI95" i="1"/>
  <c r="Y95" i="1"/>
  <c r="AH95" i="1"/>
  <c r="AF95" i="1"/>
  <c r="AJ95" i="1"/>
  <c r="AG95" i="1"/>
  <c r="AE95" i="1"/>
  <c r="AD95" i="1"/>
  <c r="AI87" i="1"/>
  <c r="Y87" i="1"/>
  <c r="AH87" i="1"/>
  <c r="AF87" i="1"/>
  <c r="AJ87" i="1"/>
  <c r="AG87" i="1"/>
  <c r="AE87" i="1"/>
  <c r="AD87" i="1"/>
  <c r="AI79" i="1"/>
  <c r="Y79" i="1"/>
  <c r="AH79" i="1"/>
  <c r="AF79" i="1"/>
  <c r="AJ79" i="1"/>
  <c r="AG79" i="1"/>
  <c r="AE79" i="1"/>
  <c r="AD79" i="1"/>
  <c r="AI71" i="1"/>
  <c r="Y71" i="1"/>
  <c r="AH71" i="1"/>
  <c r="AF71" i="1"/>
  <c r="AJ71" i="1"/>
  <c r="AG71" i="1"/>
  <c r="AE71" i="1"/>
  <c r="AD71" i="1"/>
  <c r="AI63" i="1"/>
  <c r="Y63" i="1"/>
  <c r="AH63" i="1"/>
  <c r="AF63" i="1"/>
  <c r="AJ63" i="1"/>
  <c r="AG63" i="1"/>
  <c r="AE63" i="1"/>
  <c r="AD63" i="1"/>
  <c r="AI55" i="1"/>
  <c r="Y55" i="1"/>
  <c r="AH55" i="1"/>
  <c r="AF55" i="1"/>
  <c r="AJ55" i="1"/>
  <c r="AG55" i="1"/>
  <c r="AE55" i="1"/>
  <c r="AD55" i="1"/>
  <c r="AI47" i="1"/>
  <c r="Y47" i="1"/>
  <c r="AH47" i="1"/>
  <c r="AF47" i="1"/>
  <c r="AJ47" i="1"/>
  <c r="AG47" i="1"/>
  <c r="AE47" i="1"/>
  <c r="AD47" i="1"/>
  <c r="AI39" i="1"/>
  <c r="Y39" i="1"/>
  <c r="AH39" i="1"/>
  <c r="AF39" i="1"/>
  <c r="AJ39" i="1"/>
  <c r="AG39" i="1"/>
  <c r="AE39" i="1"/>
  <c r="AD39" i="1"/>
  <c r="AI31" i="1"/>
  <c r="Y31" i="1"/>
  <c r="AH31" i="1"/>
  <c r="AF31" i="1"/>
  <c r="AJ31" i="1"/>
  <c r="AG31" i="1"/>
  <c r="AE31" i="1"/>
  <c r="AD31" i="1"/>
  <c r="AI23" i="1"/>
  <c r="Y23" i="1"/>
  <c r="AH23" i="1"/>
  <c r="AF23" i="1"/>
  <c r="AJ23" i="1"/>
  <c r="AG23" i="1"/>
  <c r="AE23" i="1"/>
  <c r="AD23" i="1"/>
  <c r="AI15" i="1"/>
  <c r="Y15" i="1"/>
  <c r="AH15" i="1"/>
  <c r="AF15" i="1"/>
  <c r="AJ15" i="1"/>
  <c r="AG15" i="1"/>
  <c r="AE15" i="1"/>
  <c r="AD15" i="1"/>
  <c r="AI7" i="1"/>
  <c r="Y7" i="1"/>
  <c r="AH7" i="1"/>
  <c r="AF7" i="1"/>
  <c r="AJ7" i="1"/>
  <c r="AG7" i="1"/>
  <c r="AE7" i="1"/>
  <c r="AD7" i="1"/>
  <c r="AC103" i="1"/>
  <c r="AC39" i="1"/>
  <c r="AD90" i="1"/>
  <c r="AD26" i="1"/>
  <c r="AG40" i="1"/>
  <c r="AG89" i="1"/>
  <c r="AI89" i="1"/>
  <c r="Y89" i="1"/>
  <c r="AH89" i="1"/>
  <c r="AF89" i="1"/>
  <c r="AC89" i="1"/>
  <c r="AJ89" i="1"/>
  <c r="AE89" i="1"/>
  <c r="AD89" i="1"/>
  <c r="AG41" i="1"/>
  <c r="AI41" i="1"/>
  <c r="Y41" i="1"/>
  <c r="AH41" i="1"/>
  <c r="AF41" i="1"/>
  <c r="AC41" i="1"/>
  <c r="AE41" i="1"/>
  <c r="AJ41" i="1"/>
  <c r="AD41" i="1"/>
  <c r="AG9" i="1"/>
  <c r="AI9" i="1"/>
  <c r="Y9" i="1"/>
  <c r="AH9" i="1"/>
  <c r="AF9" i="1"/>
  <c r="AJ9" i="1"/>
  <c r="AC9" i="1"/>
  <c r="AE9" i="1"/>
  <c r="AD9" i="1"/>
  <c r="AA103" i="1"/>
  <c r="Y110" i="1"/>
  <c r="AH110" i="1"/>
  <c r="AJ110" i="1"/>
  <c r="AG110" i="1"/>
  <c r="AE110" i="1"/>
  <c r="AI110" i="1"/>
  <c r="AD110" i="1"/>
  <c r="AF110" i="1"/>
  <c r="AC110" i="1"/>
  <c r="Y94" i="1"/>
  <c r="AH94" i="1"/>
  <c r="AJ94" i="1"/>
  <c r="AG94" i="1"/>
  <c r="AE94" i="1"/>
  <c r="AI94" i="1"/>
  <c r="AD94" i="1"/>
  <c r="AC94" i="1"/>
  <c r="Y86" i="1"/>
  <c r="AH86" i="1"/>
  <c r="AJ86" i="1"/>
  <c r="AG86" i="1"/>
  <c r="AI86" i="1"/>
  <c r="AE86" i="1"/>
  <c r="AD86" i="1"/>
  <c r="AF86" i="1"/>
  <c r="AC86" i="1"/>
  <c r="Y70" i="1"/>
  <c r="AH70" i="1"/>
  <c r="AJ70" i="1"/>
  <c r="AG70" i="1"/>
  <c r="AE70" i="1"/>
  <c r="AF70" i="1"/>
  <c r="AD70" i="1"/>
  <c r="AI70" i="1"/>
  <c r="AC70" i="1"/>
  <c r="Y62" i="1"/>
  <c r="AH62" i="1"/>
  <c r="AJ62" i="1"/>
  <c r="AG62" i="1"/>
  <c r="AE62" i="1"/>
  <c r="AD62" i="1"/>
  <c r="AI62" i="1"/>
  <c r="AC62" i="1"/>
  <c r="Y54" i="1"/>
  <c r="AH54" i="1"/>
  <c r="AF54" i="1"/>
  <c r="AJ54" i="1"/>
  <c r="AG54" i="1"/>
  <c r="AE54" i="1"/>
  <c r="AD54" i="1"/>
  <c r="AI54" i="1"/>
  <c r="AC54" i="1"/>
  <c r="Y30" i="1"/>
  <c r="AH30" i="1"/>
  <c r="AF30" i="1"/>
  <c r="AJ30" i="1"/>
  <c r="AG30" i="1"/>
  <c r="AE30" i="1"/>
  <c r="AI30" i="1"/>
  <c r="AD30" i="1"/>
  <c r="AC30" i="1"/>
  <c r="Y22" i="1"/>
  <c r="AH22" i="1"/>
  <c r="AF22" i="1"/>
  <c r="AJ22" i="1"/>
  <c r="AG22" i="1"/>
  <c r="AI22" i="1"/>
  <c r="AE22" i="1"/>
  <c r="AD22" i="1"/>
  <c r="AC22" i="1"/>
  <c r="Y14" i="1"/>
  <c r="AH14" i="1"/>
  <c r="AF14" i="1"/>
  <c r="AJ14" i="1"/>
  <c r="AG14" i="1"/>
  <c r="AE14" i="1"/>
  <c r="AD14" i="1"/>
  <c r="AC14" i="1"/>
  <c r="Y6" i="1"/>
  <c r="AH6" i="1"/>
  <c r="AF6" i="1"/>
  <c r="AJ6" i="1"/>
  <c r="AG6" i="1"/>
  <c r="AE6" i="1"/>
  <c r="AD6" i="1"/>
  <c r="AI6" i="1"/>
  <c r="AC6" i="1"/>
  <c r="AC95" i="1"/>
  <c r="AC31" i="1"/>
  <c r="AD82" i="1"/>
  <c r="AD18" i="1"/>
  <c r="AG113" i="1"/>
  <c r="AI113" i="1"/>
  <c r="Y113" i="1"/>
  <c r="AH113" i="1"/>
  <c r="AF113" i="1"/>
  <c r="AC113" i="1"/>
  <c r="AE113" i="1"/>
  <c r="AJ113" i="1"/>
  <c r="AD113" i="1"/>
  <c r="AG65" i="1"/>
  <c r="AI65" i="1"/>
  <c r="Y65" i="1"/>
  <c r="AH65" i="1"/>
  <c r="AF65" i="1"/>
  <c r="AC65" i="1"/>
  <c r="AE65" i="1"/>
  <c r="AD65" i="1"/>
  <c r="AG33" i="1"/>
  <c r="AI33" i="1"/>
  <c r="Y33" i="1"/>
  <c r="AH33" i="1"/>
  <c r="AF33" i="1"/>
  <c r="AC33" i="1"/>
  <c r="AJ33" i="1"/>
  <c r="AE33" i="1"/>
  <c r="AD33" i="1"/>
  <c r="AA41" i="1"/>
  <c r="Y102" i="1"/>
  <c r="AH102" i="1"/>
  <c r="AJ102" i="1"/>
  <c r="AG102" i="1"/>
  <c r="AE102" i="1"/>
  <c r="AF102" i="1"/>
  <c r="AI102" i="1"/>
  <c r="AD102" i="1"/>
  <c r="AC102" i="1"/>
  <c r="Y78" i="1"/>
  <c r="AH78" i="1"/>
  <c r="AJ78" i="1"/>
  <c r="AG78" i="1"/>
  <c r="AE78" i="1"/>
  <c r="AF78" i="1"/>
  <c r="AD78" i="1"/>
  <c r="AC78" i="1"/>
  <c r="Y38" i="1"/>
  <c r="AH38" i="1"/>
  <c r="AF38" i="1"/>
  <c r="AJ38" i="1"/>
  <c r="AG38" i="1"/>
  <c r="AE38" i="1"/>
  <c r="AI38" i="1"/>
  <c r="AD38" i="1"/>
  <c r="AC38" i="1"/>
  <c r="Z110" i="1"/>
  <c r="Z87" i="1"/>
  <c r="Z67" i="1"/>
  <c r="Z11" i="1"/>
  <c r="AA113" i="1"/>
  <c r="AA38" i="1"/>
  <c r="AA35" i="1"/>
  <c r="AA81" i="1"/>
  <c r="Z38" i="1"/>
  <c r="Z6" i="1"/>
  <c r="AH109" i="1"/>
  <c r="AJ109" i="1"/>
  <c r="AG109" i="1"/>
  <c r="AI109" i="1"/>
  <c r="AD109" i="1"/>
  <c r="AF109" i="1"/>
  <c r="AC109" i="1"/>
  <c r="Y109" i="1"/>
  <c r="AH101" i="1"/>
  <c r="AF101" i="1"/>
  <c r="AJ101" i="1"/>
  <c r="AG101" i="1"/>
  <c r="AI101" i="1"/>
  <c r="AD101" i="1"/>
  <c r="Y101" i="1"/>
  <c r="AC101" i="1"/>
  <c r="AH93" i="1"/>
  <c r="AF93" i="1"/>
  <c r="AJ93" i="1"/>
  <c r="AG93" i="1"/>
  <c r="AI93" i="1"/>
  <c r="AD93" i="1"/>
  <c r="Y93" i="1"/>
  <c r="AC93" i="1"/>
  <c r="AH85" i="1"/>
  <c r="AF85" i="1"/>
  <c r="AJ85" i="1"/>
  <c r="AG85" i="1"/>
  <c r="AI85" i="1"/>
  <c r="AD85" i="1"/>
  <c r="Y85" i="1"/>
  <c r="AC85" i="1"/>
  <c r="AH77" i="1"/>
  <c r="AF77" i="1"/>
  <c r="AJ77" i="1"/>
  <c r="AG77" i="1"/>
  <c r="AI77" i="1"/>
  <c r="Y77" i="1"/>
  <c r="AD77" i="1"/>
  <c r="AC77" i="1"/>
  <c r="AH69" i="1"/>
  <c r="AF69" i="1"/>
  <c r="AJ69" i="1"/>
  <c r="AG69" i="1"/>
  <c r="AI69" i="1"/>
  <c r="Y69" i="1"/>
  <c r="AD69" i="1"/>
  <c r="AC69" i="1"/>
  <c r="AH61" i="1"/>
  <c r="AF61" i="1"/>
  <c r="AJ61" i="1"/>
  <c r="AG61" i="1"/>
  <c r="AI61" i="1"/>
  <c r="Y61" i="1"/>
  <c r="AD61" i="1"/>
  <c r="AC61" i="1"/>
  <c r="AH53" i="1"/>
  <c r="AF53" i="1"/>
  <c r="AJ53" i="1"/>
  <c r="AG53" i="1"/>
  <c r="AI53" i="1"/>
  <c r="AD53" i="1"/>
  <c r="AC53" i="1"/>
  <c r="AH45" i="1"/>
  <c r="AF45" i="1"/>
  <c r="AJ45" i="1"/>
  <c r="AG45" i="1"/>
  <c r="AI45" i="1"/>
  <c r="AD45" i="1"/>
  <c r="AC45" i="1"/>
  <c r="Y45" i="1"/>
  <c r="AH37" i="1"/>
  <c r="AF37" i="1"/>
  <c r="AJ37" i="1"/>
  <c r="AG37" i="1"/>
  <c r="AI37" i="1"/>
  <c r="AD37" i="1"/>
  <c r="Y37" i="1"/>
  <c r="AC37" i="1"/>
  <c r="AH29" i="1"/>
  <c r="AF29" i="1"/>
  <c r="AJ29" i="1"/>
  <c r="AG29" i="1"/>
  <c r="AI29" i="1"/>
  <c r="AD29" i="1"/>
  <c r="Y29" i="1"/>
  <c r="AC29" i="1"/>
  <c r="AH21" i="1"/>
  <c r="AF21" i="1"/>
  <c r="AJ21" i="1"/>
  <c r="AG21" i="1"/>
  <c r="AI21" i="1"/>
  <c r="AD21" i="1"/>
  <c r="Y21" i="1"/>
  <c r="AC21" i="1"/>
  <c r="AH13" i="1"/>
  <c r="AF13" i="1"/>
  <c r="AJ13" i="1"/>
  <c r="AG13" i="1"/>
  <c r="AI13" i="1"/>
  <c r="Y13" i="1"/>
  <c r="AD13" i="1"/>
  <c r="AC13" i="1"/>
  <c r="AH5" i="1"/>
  <c r="AF5" i="1"/>
  <c r="AJ5" i="1"/>
  <c r="AG5" i="1"/>
  <c r="AI5" i="1"/>
  <c r="Y5" i="1"/>
  <c r="AD5" i="1"/>
  <c r="AC5" i="1"/>
  <c r="AC87" i="1"/>
  <c r="AC23" i="1"/>
  <c r="AE61" i="1"/>
  <c r="AF112" i="1"/>
  <c r="AG81" i="1"/>
  <c r="AI81" i="1"/>
  <c r="Y81" i="1"/>
  <c r="AH81" i="1"/>
  <c r="AF81" i="1"/>
  <c r="AJ81" i="1"/>
  <c r="AC81" i="1"/>
  <c r="AE81" i="1"/>
  <c r="AD81" i="1"/>
  <c r="AA9" i="1"/>
  <c r="Y46" i="1"/>
  <c r="AH46" i="1"/>
  <c r="AF46" i="1"/>
  <c r="AJ46" i="1"/>
  <c r="AG46" i="1"/>
  <c r="AE46" i="1"/>
  <c r="AI46" i="1"/>
  <c r="AD46" i="1"/>
  <c r="AC46" i="1"/>
  <c r="Z99" i="1"/>
  <c r="Z86" i="1"/>
  <c r="Z43" i="1"/>
  <c r="Z31" i="1"/>
  <c r="Z9" i="1"/>
  <c r="AA87" i="1"/>
  <c r="AA63" i="1"/>
  <c r="AA49" i="1"/>
  <c r="AA23" i="1"/>
  <c r="AA110" i="1"/>
  <c r="AA70" i="1"/>
  <c r="Z33" i="1"/>
  <c r="AA66" i="1"/>
  <c r="AH108" i="1"/>
  <c r="AJ108" i="1"/>
  <c r="AG108" i="1"/>
  <c r="AI108" i="1"/>
  <c r="Y108" i="1"/>
  <c r="AD108" i="1"/>
  <c r="AF108" i="1"/>
  <c r="AC108" i="1"/>
  <c r="AE108" i="1"/>
  <c r="AH100" i="1"/>
  <c r="AF100" i="1"/>
  <c r="AJ100" i="1"/>
  <c r="AG100" i="1"/>
  <c r="AI100" i="1"/>
  <c r="Y100" i="1"/>
  <c r="AD100" i="1"/>
  <c r="AC100" i="1"/>
  <c r="AE100" i="1"/>
  <c r="AH92" i="1"/>
  <c r="AF92" i="1"/>
  <c r="AJ92" i="1"/>
  <c r="AG92" i="1"/>
  <c r="AI92" i="1"/>
  <c r="Y92" i="1"/>
  <c r="AD92" i="1"/>
  <c r="AC92" i="1"/>
  <c r="AE92" i="1"/>
  <c r="AH84" i="1"/>
  <c r="AF84" i="1"/>
  <c r="AJ84" i="1"/>
  <c r="AG84" i="1"/>
  <c r="AI84" i="1"/>
  <c r="Y84" i="1"/>
  <c r="AD84" i="1"/>
  <c r="AC84" i="1"/>
  <c r="AE84" i="1"/>
  <c r="AH76" i="1"/>
  <c r="AF76" i="1"/>
  <c r="AJ76" i="1"/>
  <c r="AG76" i="1"/>
  <c r="AI76" i="1"/>
  <c r="Y76" i="1"/>
  <c r="AD76" i="1"/>
  <c r="AC76" i="1"/>
  <c r="AE76" i="1"/>
  <c r="AH68" i="1"/>
  <c r="AF68" i="1"/>
  <c r="AJ68" i="1"/>
  <c r="AG68" i="1"/>
  <c r="AI68" i="1"/>
  <c r="Y68" i="1"/>
  <c r="AD68" i="1"/>
  <c r="AC68" i="1"/>
  <c r="AE68" i="1"/>
  <c r="AH60" i="1"/>
  <c r="AF60" i="1"/>
  <c r="AJ60" i="1"/>
  <c r="AG60" i="1"/>
  <c r="AI60" i="1"/>
  <c r="Y60" i="1"/>
  <c r="AD60" i="1"/>
  <c r="AC60" i="1"/>
  <c r="AE60" i="1"/>
  <c r="AH52" i="1"/>
  <c r="AF52" i="1"/>
  <c r="AJ52" i="1"/>
  <c r="AG52" i="1"/>
  <c r="AI52" i="1"/>
  <c r="Y52" i="1"/>
  <c r="AD52" i="1"/>
  <c r="AC52" i="1"/>
  <c r="AE52" i="1"/>
  <c r="AH44" i="1"/>
  <c r="AF44" i="1"/>
  <c r="AJ44" i="1"/>
  <c r="AG44" i="1"/>
  <c r="AI44" i="1"/>
  <c r="Y44" i="1"/>
  <c r="AD44" i="1"/>
  <c r="AC44" i="1"/>
  <c r="AE44" i="1"/>
  <c r="AH36" i="1"/>
  <c r="AF36" i="1"/>
  <c r="AJ36" i="1"/>
  <c r="AG36" i="1"/>
  <c r="AI36" i="1"/>
  <c r="Y36" i="1"/>
  <c r="AD36" i="1"/>
  <c r="AC36" i="1"/>
  <c r="AE36" i="1"/>
  <c r="AH28" i="1"/>
  <c r="AF28" i="1"/>
  <c r="AJ28" i="1"/>
  <c r="AG28" i="1"/>
  <c r="AI28" i="1"/>
  <c r="Y28" i="1"/>
  <c r="AD28" i="1"/>
  <c r="AC28" i="1"/>
  <c r="AE28" i="1"/>
  <c r="AH20" i="1"/>
  <c r="AF20" i="1"/>
  <c r="AJ20" i="1"/>
  <c r="AG20" i="1"/>
  <c r="AI20" i="1"/>
  <c r="Y20" i="1"/>
  <c r="AD20" i="1"/>
  <c r="AC20" i="1"/>
  <c r="AE20" i="1"/>
  <c r="AH12" i="1"/>
  <c r="AF12" i="1"/>
  <c r="AJ12" i="1"/>
  <c r="AG12" i="1"/>
  <c r="AI12" i="1"/>
  <c r="Y12" i="1"/>
  <c r="AD12" i="1"/>
  <c r="AC12" i="1"/>
  <c r="AE12" i="1"/>
  <c r="AH4" i="1"/>
  <c r="AF4" i="1"/>
  <c r="AJ4" i="1"/>
  <c r="AG4" i="1"/>
  <c r="AI4" i="1"/>
  <c r="Y4" i="1"/>
  <c r="AD4" i="1"/>
  <c r="AC4" i="1"/>
  <c r="AE4" i="1"/>
  <c r="AC79" i="1"/>
  <c r="AC15" i="1"/>
  <c r="AE53" i="1"/>
  <c r="AF94" i="1"/>
  <c r="AI78" i="1"/>
  <c r="Z41" i="1"/>
  <c r="AA97" i="1"/>
  <c r="AA73" i="1"/>
  <c r="AA105" i="1"/>
  <c r="AA65" i="1"/>
  <c r="AJ115" i="1"/>
  <c r="AG115" i="1"/>
  <c r="AI115" i="1"/>
  <c r="Y115" i="1"/>
  <c r="AD115" i="1"/>
  <c r="AH115" i="1"/>
  <c r="AF115" i="1"/>
  <c r="AC115" i="1"/>
  <c r="AE115" i="1"/>
  <c r="AJ107" i="1"/>
  <c r="AG107" i="1"/>
  <c r="AI107" i="1"/>
  <c r="Y107" i="1"/>
  <c r="AD107" i="1"/>
  <c r="AH107" i="1"/>
  <c r="AF107" i="1"/>
  <c r="AC107" i="1"/>
  <c r="AE107" i="1"/>
  <c r="AJ99" i="1"/>
  <c r="AG99" i="1"/>
  <c r="AI99" i="1"/>
  <c r="Y99" i="1"/>
  <c r="AH99" i="1"/>
  <c r="AF99" i="1"/>
  <c r="AD99" i="1"/>
  <c r="AC99" i="1"/>
  <c r="AE99" i="1"/>
  <c r="AJ91" i="1"/>
  <c r="AG91" i="1"/>
  <c r="AI91" i="1"/>
  <c r="Y91" i="1"/>
  <c r="AD91" i="1"/>
  <c r="AC91" i="1"/>
  <c r="AE91" i="1"/>
  <c r="AF91" i="1"/>
  <c r="AJ83" i="1"/>
  <c r="AG83" i="1"/>
  <c r="AI83" i="1"/>
  <c r="Y83" i="1"/>
  <c r="AD83" i="1"/>
  <c r="AC83" i="1"/>
  <c r="AF83" i="1"/>
  <c r="AE83" i="1"/>
  <c r="AH83" i="1"/>
  <c r="AJ75" i="1"/>
  <c r="AG75" i="1"/>
  <c r="AI75" i="1"/>
  <c r="Y75" i="1"/>
  <c r="AD75" i="1"/>
  <c r="AF75" i="1"/>
  <c r="AC75" i="1"/>
  <c r="AH75" i="1"/>
  <c r="AE75" i="1"/>
  <c r="AJ67" i="1"/>
  <c r="AG67" i="1"/>
  <c r="AI67" i="1"/>
  <c r="Y67" i="1"/>
  <c r="AF67" i="1"/>
  <c r="AD67" i="1"/>
  <c r="AC67" i="1"/>
  <c r="AH67" i="1"/>
  <c r="AE67" i="1"/>
  <c r="AJ59" i="1"/>
  <c r="AG59" i="1"/>
  <c r="AI59" i="1"/>
  <c r="Y59" i="1"/>
  <c r="AD59" i="1"/>
  <c r="AH59" i="1"/>
  <c r="AC59" i="1"/>
  <c r="AE59" i="1"/>
  <c r="AF59" i="1"/>
  <c r="AJ51" i="1"/>
  <c r="AG51" i="1"/>
  <c r="AI51" i="1"/>
  <c r="Y51" i="1"/>
  <c r="AD51" i="1"/>
  <c r="AH51" i="1"/>
  <c r="AC51" i="1"/>
  <c r="AF51" i="1"/>
  <c r="AE51" i="1"/>
  <c r="AJ43" i="1"/>
  <c r="AG43" i="1"/>
  <c r="AI43" i="1"/>
  <c r="Y43" i="1"/>
  <c r="AD43" i="1"/>
  <c r="AH43" i="1"/>
  <c r="AC43" i="1"/>
  <c r="AF43" i="1"/>
  <c r="AE43" i="1"/>
  <c r="AJ35" i="1"/>
  <c r="AG35" i="1"/>
  <c r="AI35" i="1"/>
  <c r="Y35" i="1"/>
  <c r="AH35" i="1"/>
  <c r="AD35" i="1"/>
  <c r="AF35" i="1"/>
  <c r="AC35" i="1"/>
  <c r="AE35" i="1"/>
  <c r="AJ27" i="1"/>
  <c r="AG27" i="1"/>
  <c r="AI27" i="1"/>
  <c r="Y27" i="1"/>
  <c r="AD27" i="1"/>
  <c r="AF27" i="1"/>
  <c r="AC27" i="1"/>
  <c r="AE27" i="1"/>
  <c r="AJ19" i="1"/>
  <c r="AG19" i="1"/>
  <c r="AI19" i="1"/>
  <c r="Y19" i="1"/>
  <c r="AD19" i="1"/>
  <c r="AF19" i="1"/>
  <c r="AC19" i="1"/>
  <c r="AE19" i="1"/>
  <c r="AH19" i="1"/>
  <c r="AJ11" i="1"/>
  <c r="AG11" i="1"/>
  <c r="AI11" i="1"/>
  <c r="Y11" i="1"/>
  <c r="AF11" i="1"/>
  <c r="AD11" i="1"/>
  <c r="AC11" i="1"/>
  <c r="AH11" i="1"/>
  <c r="AE11" i="1"/>
  <c r="AJ3" i="1"/>
  <c r="AG3" i="1"/>
  <c r="AI3" i="1"/>
  <c r="Y3" i="1"/>
  <c r="AD3" i="1"/>
  <c r="AC3" i="1"/>
  <c r="AH3" i="1"/>
  <c r="AE3" i="1"/>
  <c r="AC71" i="1"/>
  <c r="AC7" i="1"/>
  <c r="AE109" i="1"/>
  <c r="AE45" i="1"/>
  <c r="AF62" i="1"/>
  <c r="AI14" i="1"/>
  <c r="AG49" i="1"/>
  <c r="AI49" i="1"/>
  <c r="Y49" i="1"/>
  <c r="AH49" i="1"/>
  <c r="AF49" i="1"/>
  <c r="AC49" i="1"/>
  <c r="AE49" i="1"/>
  <c r="AJ49" i="1"/>
  <c r="AD49" i="1"/>
  <c r="Z73" i="1"/>
  <c r="Z49" i="1"/>
  <c r="AA33" i="1"/>
  <c r="Z25" i="1"/>
  <c r="AA114" i="1"/>
  <c r="AJ114" i="1"/>
  <c r="AG114" i="1"/>
  <c r="AI114" i="1"/>
  <c r="Y114" i="1"/>
  <c r="AH114" i="1"/>
  <c r="AF114" i="1"/>
  <c r="AC114" i="1"/>
  <c r="AE114" i="1"/>
  <c r="AA106" i="1"/>
  <c r="AJ106" i="1"/>
  <c r="AG106" i="1"/>
  <c r="AI106" i="1"/>
  <c r="Y106" i="1"/>
  <c r="AH106" i="1"/>
  <c r="AF106" i="1"/>
  <c r="AC106" i="1"/>
  <c r="AE106" i="1"/>
  <c r="AA98" i="1"/>
  <c r="AJ98" i="1"/>
  <c r="AG98" i="1"/>
  <c r="AI98" i="1"/>
  <c r="Y98" i="1"/>
  <c r="AH98" i="1"/>
  <c r="AF98" i="1"/>
  <c r="AC98" i="1"/>
  <c r="AE98" i="1"/>
  <c r="AA90" i="1"/>
  <c r="AJ90" i="1"/>
  <c r="AG90" i="1"/>
  <c r="AI90" i="1"/>
  <c r="Y90" i="1"/>
  <c r="AH90" i="1"/>
  <c r="AF90" i="1"/>
  <c r="AC90" i="1"/>
  <c r="AE90" i="1"/>
  <c r="AA82" i="1"/>
  <c r="AJ82" i="1"/>
  <c r="AG82" i="1"/>
  <c r="AI82" i="1"/>
  <c r="Y82" i="1"/>
  <c r="AH82" i="1"/>
  <c r="AF82" i="1"/>
  <c r="AC82" i="1"/>
  <c r="AE82" i="1"/>
  <c r="AA74" i="1"/>
  <c r="AJ74" i="1"/>
  <c r="AG74" i="1"/>
  <c r="AI74" i="1"/>
  <c r="Y74" i="1"/>
  <c r="AH74" i="1"/>
  <c r="AF74" i="1"/>
  <c r="AC74" i="1"/>
  <c r="AE74" i="1"/>
  <c r="AJ66" i="1"/>
  <c r="AG66" i="1"/>
  <c r="AI66" i="1"/>
  <c r="Y66" i="1"/>
  <c r="AH66" i="1"/>
  <c r="AF66" i="1"/>
  <c r="AC66" i="1"/>
  <c r="AE66" i="1"/>
  <c r="Z58" i="1"/>
  <c r="AJ58" i="1"/>
  <c r="AG58" i="1"/>
  <c r="AI58" i="1"/>
  <c r="Y58" i="1"/>
  <c r="AH58" i="1"/>
  <c r="AF58" i="1"/>
  <c r="AC58" i="1"/>
  <c r="AE58" i="1"/>
  <c r="Z50" i="1"/>
  <c r="AJ50" i="1"/>
  <c r="AG50" i="1"/>
  <c r="AI50" i="1"/>
  <c r="Y50" i="1"/>
  <c r="AH50" i="1"/>
  <c r="AF50" i="1"/>
  <c r="AC50" i="1"/>
  <c r="AE50" i="1"/>
  <c r="AA42" i="1"/>
  <c r="AJ42" i="1"/>
  <c r="AG42" i="1"/>
  <c r="AI42" i="1"/>
  <c r="Y42" i="1"/>
  <c r="AH42" i="1"/>
  <c r="AF42" i="1"/>
  <c r="AC42" i="1"/>
  <c r="AE42" i="1"/>
  <c r="AA34" i="1"/>
  <c r="AJ34" i="1"/>
  <c r="AG34" i="1"/>
  <c r="AI34" i="1"/>
  <c r="Y34" i="1"/>
  <c r="AH34" i="1"/>
  <c r="AF34" i="1"/>
  <c r="AC34" i="1"/>
  <c r="AE34" i="1"/>
  <c r="AA26" i="1"/>
  <c r="AJ26" i="1"/>
  <c r="AG26" i="1"/>
  <c r="AI26" i="1"/>
  <c r="Y26" i="1"/>
  <c r="AH26" i="1"/>
  <c r="AF26" i="1"/>
  <c r="AC26" i="1"/>
  <c r="AE26" i="1"/>
  <c r="AA18" i="1"/>
  <c r="AJ18" i="1"/>
  <c r="AG18" i="1"/>
  <c r="AI18" i="1"/>
  <c r="Y18" i="1"/>
  <c r="AH18" i="1"/>
  <c r="AF18" i="1"/>
  <c r="AC18" i="1"/>
  <c r="AE18" i="1"/>
  <c r="AA10" i="1"/>
  <c r="AJ10" i="1"/>
  <c r="AG10" i="1"/>
  <c r="AI10" i="1"/>
  <c r="Y10" i="1"/>
  <c r="AH10" i="1"/>
  <c r="AF10" i="1"/>
  <c r="AC10" i="1"/>
  <c r="AE10" i="1"/>
  <c r="Z2" i="1"/>
  <c r="AH2" i="1"/>
  <c r="AJ2" i="1"/>
  <c r="AG2" i="1"/>
  <c r="Y2" i="1"/>
  <c r="AI2" i="1"/>
  <c r="AD2" i="1"/>
  <c r="AF2" i="1"/>
  <c r="AC2" i="1"/>
  <c r="AE2" i="1"/>
  <c r="AC63" i="1"/>
  <c r="AD114" i="1"/>
  <c r="AD50" i="1"/>
  <c r="AE101" i="1"/>
  <c r="AE37" i="1"/>
  <c r="AF3" i="1"/>
  <c r="AJ65" i="1"/>
  <c r="Z57" i="1"/>
  <c r="Z30" i="1"/>
  <c r="AA25" i="1"/>
  <c r="AA58" i="1"/>
  <c r="Z102" i="1"/>
  <c r="Z65" i="1"/>
  <c r="Z81" i="1"/>
  <c r="Z54" i="1"/>
  <c r="Z89" i="1"/>
  <c r="Z62" i="1"/>
  <c r="Z70" i="1"/>
  <c r="Z114" i="1"/>
  <c r="Z106" i="1"/>
  <c r="Z98" i="1"/>
  <c r="Z90" i="1"/>
  <c r="Z82" i="1"/>
  <c r="Z74" i="1"/>
  <c r="Z66" i="1"/>
  <c r="Z42" i="1"/>
  <c r="AA2" i="1"/>
  <c r="Z34" i="1"/>
  <c r="Z26" i="1"/>
  <c r="Z18" i="1"/>
  <c r="Z1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H2" i="1"/>
  <c r="G2" i="1"/>
  <c r="A158" i="1" s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2" i="1"/>
  <c r="B116" i="1"/>
  <c r="A122" i="1" s="1"/>
  <c r="C116" i="1"/>
  <c r="A123" i="1" s="1"/>
  <c r="A159" i="1" l="1"/>
  <c r="A161" i="1"/>
  <c r="A153" i="1"/>
  <c r="A155" i="1"/>
  <c r="A156" i="1"/>
  <c r="A154" i="1"/>
  <c r="A160" i="1"/>
  <c r="AC116" i="1"/>
  <c r="AH116" i="1"/>
  <c r="AF116" i="1"/>
  <c r="AD116" i="1"/>
  <c r="AI116" i="1"/>
  <c r="AG116" i="1"/>
  <c r="AE116" i="1"/>
  <c r="AJ116" i="1"/>
  <c r="AA116" i="1"/>
  <c r="Z116" i="1"/>
  <c r="U112" i="1"/>
  <c r="W112" i="1" s="1"/>
  <c r="AB112" i="1"/>
  <c r="U104" i="1"/>
  <c r="AB104" i="1"/>
  <c r="U96" i="1"/>
  <c r="AB96" i="1"/>
  <c r="U88" i="1"/>
  <c r="AB88" i="1"/>
  <c r="U80" i="1"/>
  <c r="AB80" i="1"/>
  <c r="U72" i="1"/>
  <c r="AB72" i="1"/>
  <c r="U64" i="1"/>
  <c r="AB64" i="1"/>
  <c r="U56" i="1"/>
  <c r="AB56" i="1"/>
  <c r="U48" i="1"/>
  <c r="AB48" i="1"/>
  <c r="U40" i="1"/>
  <c r="AB40" i="1"/>
  <c r="U32" i="1"/>
  <c r="AB32" i="1"/>
  <c r="U24" i="1"/>
  <c r="AB24" i="1"/>
  <c r="U16" i="1"/>
  <c r="AB16" i="1"/>
  <c r="U8" i="1"/>
  <c r="AB8" i="1"/>
  <c r="U111" i="1"/>
  <c r="AB111" i="1"/>
  <c r="U103" i="1"/>
  <c r="AB103" i="1"/>
  <c r="U95" i="1"/>
  <c r="AB95" i="1"/>
  <c r="U87" i="1"/>
  <c r="AB87" i="1"/>
  <c r="U79" i="1"/>
  <c r="AB79" i="1"/>
  <c r="U71" i="1"/>
  <c r="AB71" i="1"/>
  <c r="U63" i="1"/>
  <c r="AB63" i="1"/>
  <c r="U55" i="1"/>
  <c r="AB55" i="1"/>
  <c r="U47" i="1"/>
  <c r="AB47" i="1"/>
  <c r="U39" i="1"/>
  <c r="AB39" i="1"/>
  <c r="U31" i="1"/>
  <c r="AB31" i="1"/>
  <c r="U23" i="1"/>
  <c r="AB23" i="1"/>
  <c r="U15" i="1"/>
  <c r="AB15" i="1"/>
  <c r="U7" i="1"/>
  <c r="AB7" i="1"/>
  <c r="U110" i="1"/>
  <c r="AB110" i="1"/>
  <c r="U102" i="1"/>
  <c r="AB102" i="1"/>
  <c r="U94" i="1"/>
  <c r="AB94" i="1"/>
  <c r="U86" i="1"/>
  <c r="AB86" i="1"/>
  <c r="U78" i="1"/>
  <c r="AB78" i="1"/>
  <c r="U70" i="1"/>
  <c r="AB70" i="1"/>
  <c r="U62" i="1"/>
  <c r="AB62" i="1"/>
  <c r="U54" i="1"/>
  <c r="AB54" i="1"/>
  <c r="U46" i="1"/>
  <c r="AB46" i="1"/>
  <c r="U38" i="1"/>
  <c r="AB38" i="1"/>
  <c r="U30" i="1"/>
  <c r="W30" i="1" s="1"/>
  <c r="AB30" i="1"/>
  <c r="U22" i="1"/>
  <c r="AB22" i="1"/>
  <c r="U14" i="1"/>
  <c r="AB14" i="1"/>
  <c r="U6" i="1"/>
  <c r="AB6" i="1"/>
  <c r="AB109" i="1"/>
  <c r="AB101" i="1"/>
  <c r="AB93" i="1"/>
  <c r="AB85" i="1"/>
  <c r="AB77" i="1"/>
  <c r="AB69" i="1"/>
  <c r="U61" i="1"/>
  <c r="AB61" i="1"/>
  <c r="AB53" i="1"/>
  <c r="AB45" i="1"/>
  <c r="AB37" i="1"/>
  <c r="AB29" i="1"/>
  <c r="AB21" i="1"/>
  <c r="AB13" i="1"/>
  <c r="AB5" i="1"/>
  <c r="AB2" i="1"/>
  <c r="AB108" i="1"/>
  <c r="AB100" i="1"/>
  <c r="AB92" i="1"/>
  <c r="AB84" i="1"/>
  <c r="AB76" i="1"/>
  <c r="AB68" i="1"/>
  <c r="AB60" i="1"/>
  <c r="AB52" i="1"/>
  <c r="AB44" i="1"/>
  <c r="AB36" i="1"/>
  <c r="AB28" i="1"/>
  <c r="AB20" i="1"/>
  <c r="AB12" i="1"/>
  <c r="AB4" i="1"/>
  <c r="U115" i="1"/>
  <c r="AB115" i="1"/>
  <c r="AB107" i="1"/>
  <c r="AB99" i="1"/>
  <c r="AB91" i="1"/>
  <c r="AB83" i="1"/>
  <c r="AB75" i="1"/>
  <c r="AB67" i="1"/>
  <c r="AB59" i="1"/>
  <c r="AB51" i="1"/>
  <c r="AB43" i="1"/>
  <c r="AB35" i="1"/>
  <c r="AB27" i="1"/>
  <c r="AB19" i="1"/>
  <c r="AB11" i="1"/>
  <c r="AB3" i="1"/>
  <c r="V114" i="1"/>
  <c r="AN114" i="1" s="1"/>
  <c r="AB114" i="1"/>
  <c r="V106" i="1"/>
  <c r="AN106" i="1" s="1"/>
  <c r="AB106" i="1"/>
  <c r="V98" i="1"/>
  <c r="AN98" i="1" s="1"/>
  <c r="AB98" i="1"/>
  <c r="V90" i="1"/>
  <c r="AN90" i="1" s="1"/>
  <c r="AB90" i="1"/>
  <c r="V82" i="1"/>
  <c r="AN82" i="1" s="1"/>
  <c r="AB82" i="1"/>
  <c r="AB74" i="1"/>
  <c r="V66" i="1"/>
  <c r="AN66" i="1" s="1"/>
  <c r="AB66" i="1"/>
  <c r="V58" i="1"/>
  <c r="AN58" i="1" s="1"/>
  <c r="AB58" i="1"/>
  <c r="V50" i="1"/>
  <c r="AN50" i="1" s="1"/>
  <c r="AB50" i="1"/>
  <c r="V42" i="1"/>
  <c r="AN42" i="1" s="1"/>
  <c r="AB42" i="1"/>
  <c r="V34" i="1"/>
  <c r="AN34" i="1" s="1"/>
  <c r="AB34" i="1"/>
  <c r="V26" i="1"/>
  <c r="AN26" i="1" s="1"/>
  <c r="AB26" i="1"/>
  <c r="V18" i="1"/>
  <c r="AN18" i="1" s="1"/>
  <c r="AB18" i="1"/>
  <c r="AB10" i="1"/>
  <c r="V113" i="1"/>
  <c r="AN113" i="1" s="1"/>
  <c r="AB113" i="1"/>
  <c r="V105" i="1"/>
  <c r="AN105" i="1" s="1"/>
  <c r="AB105" i="1"/>
  <c r="V97" i="1"/>
  <c r="AN97" i="1" s="1"/>
  <c r="AB97" i="1"/>
  <c r="V89" i="1"/>
  <c r="AN89" i="1" s="1"/>
  <c r="AB89" i="1"/>
  <c r="V81" i="1"/>
  <c r="AN81" i="1" s="1"/>
  <c r="AB81" i="1"/>
  <c r="V73" i="1"/>
  <c r="AN73" i="1" s="1"/>
  <c r="AB73" i="1"/>
  <c r="V65" i="1"/>
  <c r="AN65" i="1" s="1"/>
  <c r="AB65" i="1"/>
  <c r="V57" i="1"/>
  <c r="AN57" i="1" s="1"/>
  <c r="AB57" i="1"/>
  <c r="V49" i="1"/>
  <c r="AN49" i="1" s="1"/>
  <c r="AB49" i="1"/>
  <c r="V41" i="1"/>
  <c r="AN41" i="1" s="1"/>
  <c r="AB41" i="1"/>
  <c r="V33" i="1"/>
  <c r="AN33" i="1" s="1"/>
  <c r="AB33" i="1"/>
  <c r="V25" i="1"/>
  <c r="AN25" i="1" s="1"/>
  <c r="AB25" i="1"/>
  <c r="V17" i="1"/>
  <c r="AN17" i="1" s="1"/>
  <c r="AB17" i="1"/>
  <c r="V9" i="1"/>
  <c r="AN9" i="1" s="1"/>
  <c r="AB9" i="1"/>
  <c r="K2" i="1"/>
  <c r="L2" i="1"/>
  <c r="K4" i="1"/>
  <c r="K114" i="1"/>
  <c r="L115" i="1"/>
  <c r="L3" i="1"/>
  <c r="I4" i="1"/>
  <c r="K113" i="1"/>
  <c r="L114" i="1"/>
  <c r="K3" i="1"/>
  <c r="I2" i="1"/>
  <c r="I115" i="1"/>
  <c r="I3" i="1"/>
  <c r="J4" i="1"/>
  <c r="L113" i="1"/>
  <c r="I114" i="1"/>
  <c r="J115" i="1"/>
  <c r="J3" i="1"/>
  <c r="K115" i="1"/>
  <c r="L4" i="1"/>
  <c r="I113" i="1"/>
  <c r="J114" i="1"/>
  <c r="J2" i="1"/>
  <c r="I66" i="1"/>
  <c r="I34" i="1"/>
  <c r="I10" i="1"/>
  <c r="J107" i="1"/>
  <c r="J99" i="1"/>
  <c r="J91" i="1"/>
  <c r="J83" i="1"/>
  <c r="J75" i="1"/>
  <c r="J67" i="1"/>
  <c r="J59" i="1"/>
  <c r="J51" i="1"/>
  <c r="J43" i="1"/>
  <c r="J35" i="1"/>
  <c r="J27" i="1"/>
  <c r="J19" i="1"/>
  <c r="J11" i="1"/>
  <c r="K111" i="1"/>
  <c r="K103" i="1"/>
  <c r="K95" i="1"/>
  <c r="K87" i="1"/>
  <c r="K79" i="1"/>
  <c r="K71" i="1"/>
  <c r="K63" i="1"/>
  <c r="K55" i="1"/>
  <c r="K47" i="1"/>
  <c r="K39" i="1"/>
  <c r="K31" i="1"/>
  <c r="K23" i="1"/>
  <c r="K15" i="1"/>
  <c r="K7" i="1"/>
  <c r="L112" i="1"/>
  <c r="L104" i="1"/>
  <c r="L96" i="1"/>
  <c r="L88" i="1"/>
  <c r="L80" i="1"/>
  <c r="L72" i="1"/>
  <c r="L64" i="1"/>
  <c r="L56" i="1"/>
  <c r="L48" i="1"/>
  <c r="L40" i="1"/>
  <c r="L32" i="1"/>
  <c r="L24" i="1"/>
  <c r="L16" i="1"/>
  <c r="L8" i="1"/>
  <c r="I82" i="1"/>
  <c r="I50" i="1"/>
  <c r="I97" i="1"/>
  <c r="I49" i="1"/>
  <c r="J98" i="1"/>
  <c r="J90" i="1"/>
  <c r="J82" i="1"/>
  <c r="J74" i="1"/>
  <c r="J66" i="1"/>
  <c r="J58" i="1"/>
  <c r="J50" i="1"/>
  <c r="J42" i="1"/>
  <c r="J34" i="1"/>
  <c r="J26" i="1"/>
  <c r="J18" i="1"/>
  <c r="J10" i="1"/>
  <c r="K110" i="1"/>
  <c r="K102" i="1"/>
  <c r="K94" i="1"/>
  <c r="K86" i="1"/>
  <c r="K78" i="1"/>
  <c r="K70" i="1"/>
  <c r="K62" i="1"/>
  <c r="K54" i="1"/>
  <c r="K46" i="1"/>
  <c r="K38" i="1"/>
  <c r="K30" i="1"/>
  <c r="K22" i="1"/>
  <c r="K14" i="1"/>
  <c r="K6" i="1"/>
  <c r="L111" i="1"/>
  <c r="L103" i="1"/>
  <c r="L95" i="1"/>
  <c r="L87" i="1"/>
  <c r="L79" i="1"/>
  <c r="L71" i="1"/>
  <c r="L63" i="1"/>
  <c r="L55" i="1"/>
  <c r="L47" i="1"/>
  <c r="L39" i="1"/>
  <c r="L31" i="1"/>
  <c r="L23" i="1"/>
  <c r="L15" i="1"/>
  <c r="L7" i="1"/>
  <c r="I98" i="1"/>
  <c r="I26" i="1"/>
  <c r="I81" i="1"/>
  <c r="I57" i="1"/>
  <c r="I33" i="1"/>
  <c r="I9" i="1"/>
  <c r="J106" i="1"/>
  <c r="I112" i="1"/>
  <c r="I104" i="1"/>
  <c r="I96" i="1"/>
  <c r="I88" i="1"/>
  <c r="I80" i="1"/>
  <c r="I72" i="1"/>
  <c r="I64" i="1"/>
  <c r="I56" i="1"/>
  <c r="I48" i="1"/>
  <c r="I40" i="1"/>
  <c r="I32" i="1"/>
  <c r="I24" i="1"/>
  <c r="I16" i="1"/>
  <c r="I8" i="1"/>
  <c r="J97" i="1"/>
  <c r="J89" i="1"/>
  <c r="J73" i="1"/>
  <c r="J65" i="1"/>
  <c r="J57" i="1"/>
  <c r="J49" i="1"/>
  <c r="J41" i="1"/>
  <c r="J33" i="1"/>
  <c r="J25" i="1"/>
  <c r="J17" i="1"/>
  <c r="J9" i="1"/>
  <c r="K109" i="1"/>
  <c r="K101" i="1"/>
  <c r="K93" i="1"/>
  <c r="K85" i="1"/>
  <c r="K77" i="1"/>
  <c r="K69" i="1"/>
  <c r="K61" i="1"/>
  <c r="K53" i="1"/>
  <c r="K45" i="1"/>
  <c r="K37" i="1"/>
  <c r="K29" i="1"/>
  <c r="K21" i="1"/>
  <c r="K13" i="1"/>
  <c r="K5" i="1"/>
  <c r="L110" i="1"/>
  <c r="L102" i="1"/>
  <c r="L94" i="1"/>
  <c r="L86" i="1"/>
  <c r="L78" i="1"/>
  <c r="L70" i="1"/>
  <c r="L62" i="1"/>
  <c r="L54" i="1"/>
  <c r="L46" i="1"/>
  <c r="L38" i="1"/>
  <c r="L30" i="1"/>
  <c r="L22" i="1"/>
  <c r="L14" i="1"/>
  <c r="L6" i="1"/>
  <c r="I90" i="1"/>
  <c r="I18" i="1"/>
  <c r="I73" i="1"/>
  <c r="I41" i="1"/>
  <c r="I111" i="1"/>
  <c r="I87" i="1"/>
  <c r="I79" i="1"/>
  <c r="I71" i="1"/>
  <c r="I63" i="1"/>
  <c r="I55" i="1"/>
  <c r="I47" i="1"/>
  <c r="I39" i="1"/>
  <c r="I31" i="1"/>
  <c r="I23" i="1"/>
  <c r="I15" i="1"/>
  <c r="I7" i="1"/>
  <c r="J112" i="1"/>
  <c r="J104" i="1"/>
  <c r="J96" i="1"/>
  <c r="J88" i="1"/>
  <c r="J80" i="1"/>
  <c r="J72" i="1"/>
  <c r="J64" i="1"/>
  <c r="J56" i="1"/>
  <c r="J48" i="1"/>
  <c r="J40" i="1"/>
  <c r="J32" i="1"/>
  <c r="J24" i="1"/>
  <c r="J16" i="1"/>
  <c r="J8" i="1"/>
  <c r="K108" i="1"/>
  <c r="K100" i="1"/>
  <c r="K92" i="1"/>
  <c r="K84" i="1"/>
  <c r="K76" i="1"/>
  <c r="K68" i="1"/>
  <c r="K60" i="1"/>
  <c r="K52" i="1"/>
  <c r="K44" i="1"/>
  <c r="K36" i="1"/>
  <c r="K28" i="1"/>
  <c r="K20" i="1"/>
  <c r="K12" i="1"/>
  <c r="L109" i="1"/>
  <c r="L101" i="1"/>
  <c r="L93" i="1"/>
  <c r="L85" i="1"/>
  <c r="L77" i="1"/>
  <c r="L69" i="1"/>
  <c r="L61" i="1"/>
  <c r="L53" i="1"/>
  <c r="L45" i="1"/>
  <c r="L37" i="1"/>
  <c r="L29" i="1"/>
  <c r="L21" i="1"/>
  <c r="L13" i="1"/>
  <c r="L5" i="1"/>
  <c r="I106" i="1"/>
  <c r="I42" i="1"/>
  <c r="I89" i="1"/>
  <c r="I25" i="1"/>
  <c r="I95" i="1"/>
  <c r="I110" i="1"/>
  <c r="I86" i="1"/>
  <c r="I62" i="1"/>
  <c r="I46" i="1"/>
  <c r="I38" i="1"/>
  <c r="I14" i="1"/>
  <c r="I6" i="1"/>
  <c r="J111" i="1"/>
  <c r="J103" i="1"/>
  <c r="J95" i="1"/>
  <c r="J87" i="1"/>
  <c r="J79" i="1"/>
  <c r="J71" i="1"/>
  <c r="J63" i="1"/>
  <c r="J55" i="1"/>
  <c r="J47" i="1"/>
  <c r="J39" i="1"/>
  <c r="J31" i="1"/>
  <c r="J23" i="1"/>
  <c r="J15" i="1"/>
  <c r="J7" i="1"/>
  <c r="K107" i="1"/>
  <c r="K99" i="1"/>
  <c r="K91" i="1"/>
  <c r="K83" i="1"/>
  <c r="K75" i="1"/>
  <c r="K67" i="1"/>
  <c r="K59" i="1"/>
  <c r="K51" i="1"/>
  <c r="K43" i="1"/>
  <c r="K35" i="1"/>
  <c r="K27" i="1"/>
  <c r="K19" i="1"/>
  <c r="K11" i="1"/>
  <c r="L108" i="1"/>
  <c r="L100" i="1"/>
  <c r="L92" i="1"/>
  <c r="L84" i="1"/>
  <c r="L76" i="1"/>
  <c r="L68" i="1"/>
  <c r="L60" i="1"/>
  <c r="L52" i="1"/>
  <c r="L44" i="1"/>
  <c r="L36" i="1"/>
  <c r="L28" i="1"/>
  <c r="L20" i="1"/>
  <c r="L12" i="1"/>
  <c r="I109" i="1"/>
  <c r="I101" i="1"/>
  <c r="I93" i="1"/>
  <c r="I85" i="1"/>
  <c r="I77" i="1"/>
  <c r="I69" i="1"/>
  <c r="I61" i="1"/>
  <c r="I53" i="1"/>
  <c r="I45" i="1"/>
  <c r="I37" i="1"/>
  <c r="I29" i="1"/>
  <c r="I21" i="1"/>
  <c r="I13" i="1"/>
  <c r="I5" i="1"/>
  <c r="J110" i="1"/>
  <c r="J102" i="1"/>
  <c r="J94" i="1"/>
  <c r="J86" i="1"/>
  <c r="J78" i="1"/>
  <c r="J70" i="1"/>
  <c r="J62" i="1"/>
  <c r="J54" i="1"/>
  <c r="J46" i="1"/>
  <c r="J38" i="1"/>
  <c r="J30" i="1"/>
  <c r="J22" i="1"/>
  <c r="J14" i="1"/>
  <c r="J6" i="1"/>
  <c r="K106" i="1"/>
  <c r="K98" i="1"/>
  <c r="K90" i="1"/>
  <c r="K82" i="1"/>
  <c r="K74" i="1"/>
  <c r="K66" i="1"/>
  <c r="K58" i="1"/>
  <c r="K50" i="1"/>
  <c r="K42" i="1"/>
  <c r="K34" i="1"/>
  <c r="K26" i="1"/>
  <c r="K18" i="1"/>
  <c r="K10" i="1"/>
  <c r="L107" i="1"/>
  <c r="L99" i="1"/>
  <c r="L91" i="1"/>
  <c r="L83" i="1"/>
  <c r="L75" i="1"/>
  <c r="L67" i="1"/>
  <c r="L59" i="1"/>
  <c r="L51" i="1"/>
  <c r="L43" i="1"/>
  <c r="L35" i="1"/>
  <c r="L27" i="1"/>
  <c r="L19" i="1"/>
  <c r="L11" i="1"/>
  <c r="I74" i="1"/>
  <c r="I58" i="1"/>
  <c r="I105" i="1"/>
  <c r="I65" i="1"/>
  <c r="I17" i="1"/>
  <c r="I103" i="1"/>
  <c r="I94" i="1"/>
  <c r="I70" i="1"/>
  <c r="I22" i="1"/>
  <c r="I108" i="1"/>
  <c r="I100" i="1"/>
  <c r="I92" i="1"/>
  <c r="I84" i="1"/>
  <c r="I76" i="1"/>
  <c r="I68" i="1"/>
  <c r="I60" i="1"/>
  <c r="I52" i="1"/>
  <c r="I44" i="1"/>
  <c r="I36" i="1"/>
  <c r="I28" i="1"/>
  <c r="I20" i="1"/>
  <c r="I12" i="1"/>
  <c r="J109" i="1"/>
  <c r="J101" i="1"/>
  <c r="J93" i="1"/>
  <c r="J85" i="1"/>
  <c r="J77" i="1"/>
  <c r="J69" i="1"/>
  <c r="J61" i="1"/>
  <c r="J53" i="1"/>
  <c r="J45" i="1"/>
  <c r="J37" i="1"/>
  <c r="J29" i="1"/>
  <c r="J21" i="1"/>
  <c r="J13" i="1"/>
  <c r="J5" i="1"/>
  <c r="K105" i="1"/>
  <c r="K97" i="1"/>
  <c r="K89" i="1"/>
  <c r="K81" i="1"/>
  <c r="K73" i="1"/>
  <c r="K65" i="1"/>
  <c r="K57" i="1"/>
  <c r="K49" i="1"/>
  <c r="K41" i="1"/>
  <c r="K33" i="1"/>
  <c r="K25" i="1"/>
  <c r="K17" i="1"/>
  <c r="K9" i="1"/>
  <c r="L106" i="1"/>
  <c r="L98" i="1"/>
  <c r="L90" i="1"/>
  <c r="L82" i="1"/>
  <c r="L74" i="1"/>
  <c r="L66" i="1"/>
  <c r="L58" i="1"/>
  <c r="L50" i="1"/>
  <c r="L42" i="1"/>
  <c r="L34" i="1"/>
  <c r="L26" i="1"/>
  <c r="L18" i="1"/>
  <c r="L10" i="1"/>
  <c r="I102" i="1"/>
  <c r="I78" i="1"/>
  <c r="I54" i="1"/>
  <c r="I30" i="1"/>
  <c r="I107" i="1"/>
  <c r="I99" i="1"/>
  <c r="I91" i="1"/>
  <c r="I83" i="1"/>
  <c r="I75" i="1"/>
  <c r="I67" i="1"/>
  <c r="I59" i="1"/>
  <c r="I51" i="1"/>
  <c r="I43" i="1"/>
  <c r="I35" i="1"/>
  <c r="I27" i="1"/>
  <c r="I19" i="1"/>
  <c r="I11" i="1"/>
  <c r="J108" i="1"/>
  <c r="J100" i="1"/>
  <c r="J92" i="1"/>
  <c r="J84" i="1"/>
  <c r="J76" i="1"/>
  <c r="J68" i="1"/>
  <c r="J60" i="1"/>
  <c r="J52" i="1"/>
  <c r="J44" i="1"/>
  <c r="J36" i="1"/>
  <c r="J28" i="1"/>
  <c r="J20" i="1"/>
  <c r="J12" i="1"/>
  <c r="K112" i="1"/>
  <c r="K104" i="1"/>
  <c r="K96" i="1"/>
  <c r="K88" i="1"/>
  <c r="K80" i="1"/>
  <c r="K72" i="1"/>
  <c r="K64" i="1"/>
  <c r="K56" i="1"/>
  <c r="K48" i="1"/>
  <c r="K40" i="1"/>
  <c r="K32" i="1"/>
  <c r="K24" i="1"/>
  <c r="K16" i="1"/>
  <c r="K8" i="1"/>
  <c r="L105" i="1"/>
  <c r="L97" i="1"/>
  <c r="L89" i="1"/>
  <c r="L81" i="1"/>
  <c r="L73" i="1"/>
  <c r="L65" i="1"/>
  <c r="L57" i="1"/>
  <c r="L49" i="1"/>
  <c r="L41" i="1"/>
  <c r="L33" i="1"/>
  <c r="L25" i="1"/>
  <c r="L17" i="1"/>
  <c r="L9" i="1"/>
  <c r="Q113" i="1"/>
  <c r="J113" i="1"/>
  <c r="W88" i="1"/>
  <c r="W24" i="1"/>
  <c r="W103" i="1"/>
  <c r="W71" i="1"/>
  <c r="W7" i="1"/>
  <c r="W54" i="1"/>
  <c r="P81" i="1"/>
  <c r="J81" i="1"/>
  <c r="P105" i="1"/>
  <c r="J105" i="1"/>
  <c r="AL105" i="1"/>
  <c r="X105" i="1"/>
  <c r="AL41" i="1"/>
  <c r="X41" i="1"/>
  <c r="Q97" i="1"/>
  <c r="Q89" i="1"/>
  <c r="Q73" i="1"/>
  <c r="Q49" i="1"/>
  <c r="Q115" i="1"/>
  <c r="M113" i="1"/>
  <c r="M105" i="1"/>
  <c r="M97" i="1"/>
  <c r="M89" i="1"/>
  <c r="R81" i="1"/>
  <c r="M73" i="1"/>
  <c r="R17" i="1"/>
  <c r="Q114" i="1"/>
  <c r="Q106" i="1"/>
  <c r="Q98" i="1"/>
  <c r="Q90" i="1"/>
  <c r="Q82" i="1"/>
  <c r="Q74" i="1"/>
  <c r="Q66" i="1"/>
  <c r="Q58" i="1"/>
  <c r="Q50" i="1"/>
  <c r="Q42" i="1"/>
  <c r="Q34" i="1"/>
  <c r="Q26" i="1"/>
  <c r="Q18" i="1"/>
  <c r="Q10" i="1"/>
  <c r="P65" i="1"/>
  <c r="M65" i="1"/>
  <c r="M57" i="1"/>
  <c r="M49" i="1"/>
  <c r="M41" i="1"/>
  <c r="M33" i="1"/>
  <c r="M25" i="1"/>
  <c r="M9" i="1"/>
  <c r="P57" i="1"/>
  <c r="Q102" i="1"/>
  <c r="Q86" i="1"/>
  <c r="Q70" i="1"/>
  <c r="Q54" i="1"/>
  <c r="Q46" i="1"/>
  <c r="Q38" i="1"/>
  <c r="Q30" i="1"/>
  <c r="Q14" i="1"/>
  <c r="Q6" i="1"/>
  <c r="Q110" i="1"/>
  <c r="Q94" i="1"/>
  <c r="Q78" i="1"/>
  <c r="Q62" i="1"/>
  <c r="Q22" i="1"/>
  <c r="P41" i="1"/>
  <c r="Q33" i="1"/>
  <c r="Q25" i="1"/>
  <c r="P17" i="1"/>
  <c r="Q9" i="1"/>
  <c r="P104" i="1"/>
  <c r="P88" i="1"/>
  <c r="P80" i="1"/>
  <c r="P64" i="1"/>
  <c r="P56" i="1"/>
  <c r="P40" i="1"/>
  <c r="P24" i="1"/>
  <c r="P16" i="1"/>
  <c r="R2" i="1"/>
  <c r="M115" i="1"/>
  <c r="P92" i="1"/>
  <c r="P28" i="1"/>
  <c r="Q2" i="1"/>
  <c r="N2" i="1"/>
  <c r="V2" i="1"/>
  <c r="N115" i="1"/>
  <c r="V115" i="1"/>
  <c r="AN115" i="1" s="1"/>
  <c r="P2" i="1"/>
  <c r="U2" i="1"/>
  <c r="P115" i="1"/>
  <c r="U109" i="1"/>
  <c r="M2" i="1"/>
  <c r="U53" i="1"/>
  <c r="U45" i="1"/>
  <c r="O110" i="1"/>
  <c r="O78" i="1"/>
  <c r="O62" i="1"/>
  <c r="O54" i="1"/>
  <c r="O46" i="1"/>
  <c r="O38" i="1"/>
  <c r="O30" i="1"/>
  <c r="O22" i="1"/>
  <c r="O14" i="1"/>
  <c r="O6" i="1"/>
  <c r="O102" i="1"/>
  <c r="O70" i="1"/>
  <c r="O94" i="1"/>
  <c r="O86" i="1"/>
  <c r="R93" i="1"/>
  <c r="R53" i="1"/>
  <c r="R13" i="1"/>
  <c r="V112" i="1"/>
  <c r="AN112" i="1" s="1"/>
  <c r="M108" i="1"/>
  <c r="M92" i="1"/>
  <c r="N76" i="1"/>
  <c r="M44" i="1"/>
  <c r="M36" i="1"/>
  <c r="M28" i="1"/>
  <c r="N20" i="1"/>
  <c r="Q109" i="1"/>
  <c r="Q101" i="1"/>
  <c r="Q93" i="1"/>
  <c r="Q85" i="1"/>
  <c r="Q77" i="1"/>
  <c r="Q69" i="1"/>
  <c r="Q61" i="1"/>
  <c r="Q53" i="1"/>
  <c r="Q45" i="1"/>
  <c r="Q37" i="1"/>
  <c r="Q29" i="1"/>
  <c r="Q21" i="1"/>
  <c r="Q13" i="1"/>
  <c r="Q5" i="1"/>
  <c r="Q65" i="1"/>
  <c r="U101" i="1"/>
  <c r="U37" i="1"/>
  <c r="V104" i="1"/>
  <c r="AN104" i="1" s="1"/>
  <c r="V40" i="1"/>
  <c r="AN40" i="1" s="1"/>
  <c r="R85" i="1"/>
  <c r="R45" i="1"/>
  <c r="R5" i="1"/>
  <c r="M100" i="1"/>
  <c r="P108" i="1"/>
  <c r="P100" i="1"/>
  <c r="P84" i="1"/>
  <c r="P76" i="1"/>
  <c r="P68" i="1"/>
  <c r="P60" i="1"/>
  <c r="P52" i="1"/>
  <c r="P44" i="1"/>
  <c r="P36" i="1"/>
  <c r="P20" i="1"/>
  <c r="P12" i="1"/>
  <c r="P4" i="1"/>
  <c r="N113" i="1"/>
  <c r="U93" i="1"/>
  <c r="U29" i="1"/>
  <c r="V96" i="1"/>
  <c r="AN96" i="1" s="1"/>
  <c r="V32" i="1"/>
  <c r="AN32" i="1" s="1"/>
  <c r="R77" i="1"/>
  <c r="R37" i="1"/>
  <c r="V48" i="1"/>
  <c r="AN48" i="1" s="1"/>
  <c r="M114" i="1"/>
  <c r="M106" i="1"/>
  <c r="M98" i="1"/>
  <c r="M90" i="1"/>
  <c r="M82" i="1"/>
  <c r="M74" i="1"/>
  <c r="M66" i="1"/>
  <c r="M58" i="1"/>
  <c r="M50" i="1"/>
  <c r="M42" i="1"/>
  <c r="M34" i="1"/>
  <c r="M26" i="1"/>
  <c r="M18" i="1"/>
  <c r="M10" i="1"/>
  <c r="N49" i="1"/>
  <c r="U85" i="1"/>
  <c r="U21" i="1"/>
  <c r="V88" i="1"/>
  <c r="AN88" i="1" s="1"/>
  <c r="V24" i="1"/>
  <c r="AN24" i="1" s="1"/>
  <c r="R101" i="1"/>
  <c r="R61" i="1"/>
  <c r="R21" i="1"/>
  <c r="U77" i="1"/>
  <c r="U13" i="1"/>
  <c r="V80" i="1"/>
  <c r="AN80" i="1" s="1"/>
  <c r="V16" i="1"/>
  <c r="AN16" i="1" s="1"/>
  <c r="R109" i="1"/>
  <c r="R69" i="1"/>
  <c r="R29" i="1"/>
  <c r="U69" i="1"/>
  <c r="U5" i="1"/>
  <c r="V72" i="1"/>
  <c r="AN72" i="1" s="1"/>
  <c r="V8" i="1"/>
  <c r="AN8" i="1" s="1"/>
  <c r="V64" i="1"/>
  <c r="AN64" i="1" s="1"/>
  <c r="V56" i="1"/>
  <c r="AN56" i="1" s="1"/>
  <c r="T116" i="1"/>
  <c r="Q64" i="1"/>
  <c r="N105" i="1"/>
  <c r="N41" i="1"/>
  <c r="U108" i="1"/>
  <c r="U100" i="1"/>
  <c r="U92" i="1"/>
  <c r="U84" i="1"/>
  <c r="U76" i="1"/>
  <c r="U68" i="1"/>
  <c r="U60" i="1"/>
  <c r="U52" i="1"/>
  <c r="U44" i="1"/>
  <c r="U36" i="1"/>
  <c r="U28" i="1"/>
  <c r="U20" i="1"/>
  <c r="U12" i="1"/>
  <c r="U4" i="1"/>
  <c r="V111" i="1"/>
  <c r="AN111" i="1" s="1"/>
  <c r="V103" i="1"/>
  <c r="AN103" i="1" s="1"/>
  <c r="V95" i="1"/>
  <c r="AN95" i="1" s="1"/>
  <c r="V87" i="1"/>
  <c r="AN87" i="1" s="1"/>
  <c r="V79" i="1"/>
  <c r="AN79" i="1" s="1"/>
  <c r="V71" i="1"/>
  <c r="AN71" i="1" s="1"/>
  <c r="V63" i="1"/>
  <c r="AN63" i="1" s="1"/>
  <c r="V55" i="1"/>
  <c r="AN55" i="1" s="1"/>
  <c r="V47" i="1"/>
  <c r="AN47" i="1" s="1"/>
  <c r="V39" i="1"/>
  <c r="AN39" i="1" s="1"/>
  <c r="V31" i="1"/>
  <c r="AN31" i="1" s="1"/>
  <c r="V23" i="1"/>
  <c r="AN23" i="1" s="1"/>
  <c r="V15" i="1"/>
  <c r="AN15" i="1" s="1"/>
  <c r="V7" i="1"/>
  <c r="AN7" i="1" s="1"/>
  <c r="M96" i="1"/>
  <c r="M88" i="1"/>
  <c r="M80" i="1"/>
  <c r="M72" i="1"/>
  <c r="M64" i="1"/>
  <c r="M56" i="1"/>
  <c r="M48" i="1"/>
  <c r="M40" i="1"/>
  <c r="M32" i="1"/>
  <c r="M24" i="1"/>
  <c r="M16" i="1"/>
  <c r="M8" i="1"/>
  <c r="Q41" i="1"/>
  <c r="N97" i="1"/>
  <c r="N33" i="1"/>
  <c r="U107" i="1"/>
  <c r="U99" i="1"/>
  <c r="U91" i="1"/>
  <c r="U83" i="1"/>
  <c r="U75" i="1"/>
  <c r="U67" i="1"/>
  <c r="U59" i="1"/>
  <c r="U51" i="1"/>
  <c r="U43" i="1"/>
  <c r="U35" i="1"/>
  <c r="U27" i="1"/>
  <c r="U19" i="1"/>
  <c r="U11" i="1"/>
  <c r="U3" i="1"/>
  <c r="V110" i="1"/>
  <c r="AN110" i="1" s="1"/>
  <c r="V102" i="1"/>
  <c r="AN102" i="1" s="1"/>
  <c r="V94" i="1"/>
  <c r="AN94" i="1" s="1"/>
  <c r="V86" i="1"/>
  <c r="AN86" i="1" s="1"/>
  <c r="V78" i="1"/>
  <c r="AN78" i="1" s="1"/>
  <c r="V70" i="1"/>
  <c r="AN70" i="1" s="1"/>
  <c r="V62" i="1"/>
  <c r="AN62" i="1" s="1"/>
  <c r="V54" i="1"/>
  <c r="AN54" i="1" s="1"/>
  <c r="V46" i="1"/>
  <c r="AN46" i="1" s="1"/>
  <c r="V38" i="1"/>
  <c r="AN38" i="1" s="1"/>
  <c r="V30" i="1"/>
  <c r="AN30" i="1" s="1"/>
  <c r="V22" i="1"/>
  <c r="AN22" i="1" s="1"/>
  <c r="V14" i="1"/>
  <c r="AN14" i="1" s="1"/>
  <c r="V6" i="1"/>
  <c r="AN6" i="1" s="1"/>
  <c r="M104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Q112" i="1"/>
  <c r="Q96" i="1"/>
  <c r="Q72" i="1"/>
  <c r="Q48" i="1"/>
  <c r="Q32" i="1"/>
  <c r="Q8" i="1"/>
  <c r="Q24" i="1"/>
  <c r="N89" i="1"/>
  <c r="N25" i="1"/>
  <c r="U114" i="1"/>
  <c r="U106" i="1"/>
  <c r="U98" i="1"/>
  <c r="U90" i="1"/>
  <c r="U82" i="1"/>
  <c r="U74" i="1"/>
  <c r="U66" i="1"/>
  <c r="U58" i="1"/>
  <c r="U50" i="1"/>
  <c r="U42" i="1"/>
  <c r="U34" i="1"/>
  <c r="U26" i="1"/>
  <c r="U18" i="1"/>
  <c r="U10" i="1"/>
  <c r="V109" i="1"/>
  <c r="AN109" i="1" s="1"/>
  <c r="V101" i="1"/>
  <c r="AN101" i="1" s="1"/>
  <c r="V93" i="1"/>
  <c r="AN93" i="1" s="1"/>
  <c r="V85" i="1"/>
  <c r="AN85" i="1" s="1"/>
  <c r="V77" i="1"/>
  <c r="AN77" i="1" s="1"/>
  <c r="V69" i="1"/>
  <c r="AN69" i="1" s="1"/>
  <c r="V61" i="1"/>
  <c r="AN61" i="1" s="1"/>
  <c r="V53" i="1"/>
  <c r="AN53" i="1" s="1"/>
  <c r="V45" i="1"/>
  <c r="AN45" i="1" s="1"/>
  <c r="V37" i="1"/>
  <c r="AN37" i="1" s="1"/>
  <c r="V29" i="1"/>
  <c r="AN29" i="1" s="1"/>
  <c r="V21" i="1"/>
  <c r="AN21" i="1" s="1"/>
  <c r="V13" i="1"/>
  <c r="AN13" i="1" s="1"/>
  <c r="V5" i="1"/>
  <c r="AN5" i="1" s="1"/>
  <c r="M111" i="1"/>
  <c r="M103" i="1"/>
  <c r="M95" i="1"/>
  <c r="M87" i="1"/>
  <c r="M79" i="1"/>
  <c r="M71" i="1"/>
  <c r="M63" i="1"/>
  <c r="M55" i="1"/>
  <c r="M47" i="1"/>
  <c r="M39" i="1"/>
  <c r="M31" i="1"/>
  <c r="M23" i="1"/>
  <c r="M15" i="1"/>
  <c r="M7" i="1"/>
  <c r="P107" i="1"/>
  <c r="P99" i="1"/>
  <c r="P91" i="1"/>
  <c r="P83" i="1"/>
  <c r="P75" i="1"/>
  <c r="P67" i="1"/>
  <c r="P59" i="1"/>
  <c r="P51" i="1"/>
  <c r="P43" i="1"/>
  <c r="P35" i="1"/>
  <c r="P27" i="1"/>
  <c r="P19" i="1"/>
  <c r="P11" i="1"/>
  <c r="P3" i="1"/>
  <c r="N81" i="1"/>
  <c r="N17" i="1"/>
  <c r="U113" i="1"/>
  <c r="U105" i="1"/>
  <c r="U97" i="1"/>
  <c r="U89" i="1"/>
  <c r="U81" i="1"/>
  <c r="U73" i="1"/>
  <c r="U65" i="1"/>
  <c r="U57" i="1"/>
  <c r="U49" i="1"/>
  <c r="U41" i="1"/>
  <c r="U33" i="1"/>
  <c r="U25" i="1"/>
  <c r="U17" i="1"/>
  <c r="U9" i="1"/>
  <c r="V108" i="1"/>
  <c r="AN108" i="1" s="1"/>
  <c r="V100" i="1"/>
  <c r="AN100" i="1" s="1"/>
  <c r="V92" i="1"/>
  <c r="AN92" i="1" s="1"/>
  <c r="V84" i="1"/>
  <c r="AN84" i="1" s="1"/>
  <c r="V76" i="1"/>
  <c r="AN76" i="1" s="1"/>
  <c r="V68" i="1"/>
  <c r="AN68" i="1" s="1"/>
  <c r="V60" i="1"/>
  <c r="AN60" i="1" s="1"/>
  <c r="V52" i="1"/>
  <c r="AN52" i="1" s="1"/>
  <c r="V44" i="1"/>
  <c r="AN44" i="1" s="1"/>
  <c r="V36" i="1"/>
  <c r="AN36" i="1" s="1"/>
  <c r="V28" i="1"/>
  <c r="AN28" i="1" s="1"/>
  <c r="V20" i="1"/>
  <c r="AN20" i="1" s="1"/>
  <c r="V12" i="1"/>
  <c r="AN12" i="1" s="1"/>
  <c r="V4" i="1"/>
  <c r="AN4" i="1" s="1"/>
  <c r="M112" i="1"/>
  <c r="N114" i="1"/>
  <c r="N106" i="1"/>
  <c r="N98" i="1"/>
  <c r="N90" i="1"/>
  <c r="N82" i="1"/>
  <c r="N74" i="1"/>
  <c r="N66" i="1"/>
  <c r="N58" i="1"/>
  <c r="N50" i="1"/>
  <c r="N42" i="1"/>
  <c r="N34" i="1"/>
  <c r="N26" i="1"/>
  <c r="N18" i="1"/>
  <c r="N10" i="1"/>
  <c r="N73" i="1"/>
  <c r="N9" i="1"/>
  <c r="V107" i="1"/>
  <c r="AN107" i="1" s="1"/>
  <c r="V99" i="1"/>
  <c r="AN99" i="1" s="1"/>
  <c r="V91" i="1"/>
  <c r="AN91" i="1" s="1"/>
  <c r="V83" i="1"/>
  <c r="AN83" i="1" s="1"/>
  <c r="V75" i="1"/>
  <c r="AN75" i="1" s="1"/>
  <c r="V67" i="1"/>
  <c r="AN67" i="1" s="1"/>
  <c r="V59" i="1"/>
  <c r="V51" i="1"/>
  <c r="AN51" i="1" s="1"/>
  <c r="V43" i="1"/>
  <c r="AN43" i="1" s="1"/>
  <c r="V35" i="1"/>
  <c r="AN35" i="1" s="1"/>
  <c r="V27" i="1"/>
  <c r="AN27" i="1" s="1"/>
  <c r="V19" i="1"/>
  <c r="AN19" i="1" s="1"/>
  <c r="V11" i="1"/>
  <c r="AN11" i="1" s="1"/>
  <c r="V3" i="1"/>
  <c r="AN3" i="1" s="1"/>
  <c r="Q105" i="1"/>
  <c r="N65" i="1"/>
  <c r="V74" i="1"/>
  <c r="AN74" i="1" s="1"/>
  <c r="V10" i="1"/>
  <c r="AN10" i="1" s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3" i="1"/>
  <c r="Q88" i="1"/>
  <c r="N57" i="1"/>
  <c r="Q23" i="1"/>
  <c r="M94" i="1"/>
  <c r="M46" i="1"/>
  <c r="R68" i="1"/>
  <c r="R52" i="1"/>
  <c r="R4" i="1"/>
  <c r="R105" i="1"/>
  <c r="Q104" i="1"/>
  <c r="Q81" i="1"/>
  <c r="Q63" i="1"/>
  <c r="Q40" i="1"/>
  <c r="Q17" i="1"/>
  <c r="P114" i="1"/>
  <c r="P106" i="1"/>
  <c r="P98" i="1"/>
  <c r="P90" i="1"/>
  <c r="P82" i="1"/>
  <c r="P74" i="1"/>
  <c r="P66" i="1"/>
  <c r="P58" i="1"/>
  <c r="P50" i="1"/>
  <c r="P42" i="1"/>
  <c r="P34" i="1"/>
  <c r="P26" i="1"/>
  <c r="P18" i="1"/>
  <c r="P10" i="1"/>
  <c r="M109" i="1"/>
  <c r="M101" i="1"/>
  <c r="M93" i="1"/>
  <c r="M85" i="1"/>
  <c r="M77" i="1"/>
  <c r="M69" i="1"/>
  <c r="M61" i="1"/>
  <c r="M53" i="1"/>
  <c r="M45" i="1"/>
  <c r="M37" i="1"/>
  <c r="M29" i="1"/>
  <c r="M21" i="1"/>
  <c r="M13" i="1"/>
  <c r="M5" i="1"/>
  <c r="N112" i="1"/>
  <c r="N104" i="1"/>
  <c r="N96" i="1"/>
  <c r="N88" i="1"/>
  <c r="N80" i="1"/>
  <c r="N72" i="1"/>
  <c r="N64" i="1"/>
  <c r="N56" i="1"/>
  <c r="N48" i="1"/>
  <c r="N40" i="1"/>
  <c r="N32" i="1"/>
  <c r="N24" i="1"/>
  <c r="N16" i="1"/>
  <c r="N8" i="1"/>
  <c r="M78" i="1"/>
  <c r="M22" i="1"/>
  <c r="R84" i="1"/>
  <c r="R60" i="1"/>
  <c r="R12" i="1"/>
  <c r="Q108" i="1"/>
  <c r="Q100" i="1"/>
  <c r="Q92" i="1"/>
  <c r="Q84" i="1"/>
  <c r="Q76" i="1"/>
  <c r="Q68" i="1"/>
  <c r="Q60" i="1"/>
  <c r="Q52" i="1"/>
  <c r="Q44" i="1"/>
  <c r="Q36" i="1"/>
  <c r="Q28" i="1"/>
  <c r="Q20" i="1"/>
  <c r="Q12" i="1"/>
  <c r="Q4" i="1"/>
  <c r="R89" i="1"/>
  <c r="R25" i="1"/>
  <c r="R97" i="1"/>
  <c r="Q103" i="1"/>
  <c r="Q80" i="1"/>
  <c r="Q57" i="1"/>
  <c r="Q39" i="1"/>
  <c r="Q16" i="1"/>
  <c r="P113" i="1"/>
  <c r="P97" i="1"/>
  <c r="P89" i="1"/>
  <c r="P73" i="1"/>
  <c r="P49" i="1"/>
  <c r="P33" i="1"/>
  <c r="P25" i="1"/>
  <c r="P9" i="1"/>
  <c r="M84" i="1"/>
  <c r="M76" i="1"/>
  <c r="M68" i="1"/>
  <c r="M60" i="1"/>
  <c r="M52" i="1"/>
  <c r="M20" i="1"/>
  <c r="M12" i="1"/>
  <c r="M4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M110" i="1"/>
  <c r="M62" i="1"/>
  <c r="M14" i="1"/>
  <c r="R108" i="1"/>
  <c r="R44" i="1"/>
  <c r="Q107" i="1"/>
  <c r="Q99" i="1"/>
  <c r="Q91" i="1"/>
  <c r="Q83" i="1"/>
  <c r="Q75" i="1"/>
  <c r="Q67" i="1"/>
  <c r="Q59" i="1"/>
  <c r="Q51" i="1"/>
  <c r="Q43" i="1"/>
  <c r="Q35" i="1"/>
  <c r="Q27" i="1"/>
  <c r="Q19" i="1"/>
  <c r="Q11" i="1"/>
  <c r="Q3" i="1"/>
  <c r="R41" i="1"/>
  <c r="Q79" i="1"/>
  <c r="Q56" i="1"/>
  <c r="Q15" i="1"/>
  <c r="P112" i="1"/>
  <c r="P96" i="1"/>
  <c r="P72" i="1"/>
  <c r="P48" i="1"/>
  <c r="P32" i="1"/>
  <c r="P8" i="1"/>
  <c r="M107" i="1"/>
  <c r="M99" i="1"/>
  <c r="M91" i="1"/>
  <c r="M83" i="1"/>
  <c r="M75" i="1"/>
  <c r="M67" i="1"/>
  <c r="M59" i="1"/>
  <c r="A165" i="1" s="1"/>
  <c r="M51" i="1"/>
  <c r="M43" i="1"/>
  <c r="M35" i="1"/>
  <c r="M27" i="1"/>
  <c r="M19" i="1"/>
  <c r="M11" i="1"/>
  <c r="M3" i="1"/>
  <c r="N110" i="1"/>
  <c r="N102" i="1"/>
  <c r="N94" i="1"/>
  <c r="N86" i="1"/>
  <c r="N78" i="1"/>
  <c r="N70" i="1"/>
  <c r="N62" i="1"/>
  <c r="N54" i="1"/>
  <c r="N46" i="1"/>
  <c r="N38" i="1"/>
  <c r="N30" i="1"/>
  <c r="N22" i="1"/>
  <c r="N14" i="1"/>
  <c r="N6" i="1"/>
  <c r="Q87" i="1"/>
  <c r="M70" i="1"/>
  <c r="M30" i="1"/>
  <c r="M6" i="1"/>
  <c r="R92" i="1"/>
  <c r="R36" i="1"/>
  <c r="R33" i="1"/>
  <c r="Q55" i="1"/>
  <c r="P111" i="1"/>
  <c r="P103" i="1"/>
  <c r="P95" i="1"/>
  <c r="P87" i="1"/>
  <c r="P79" i="1"/>
  <c r="P71" i="1"/>
  <c r="P63" i="1"/>
  <c r="P55" i="1"/>
  <c r="P47" i="1"/>
  <c r="P39" i="1"/>
  <c r="P31" i="1"/>
  <c r="P23" i="1"/>
  <c r="P15" i="1"/>
  <c r="P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M86" i="1"/>
  <c r="M38" i="1"/>
  <c r="R100" i="1"/>
  <c r="R28" i="1"/>
  <c r="Q95" i="1"/>
  <c r="Q31" i="1"/>
  <c r="P110" i="1"/>
  <c r="P102" i="1"/>
  <c r="P94" i="1"/>
  <c r="P86" i="1"/>
  <c r="P78" i="1"/>
  <c r="P70" i="1"/>
  <c r="P62" i="1"/>
  <c r="P54" i="1"/>
  <c r="P46" i="1"/>
  <c r="P38" i="1"/>
  <c r="P30" i="1"/>
  <c r="P22" i="1"/>
  <c r="P14" i="1"/>
  <c r="P6" i="1"/>
  <c r="M81" i="1"/>
  <c r="M17" i="1"/>
  <c r="N108" i="1"/>
  <c r="N100" i="1"/>
  <c r="N92" i="1"/>
  <c r="N84" i="1"/>
  <c r="N68" i="1"/>
  <c r="N60" i="1"/>
  <c r="N52" i="1"/>
  <c r="N44" i="1"/>
  <c r="N36" i="1"/>
  <c r="N28" i="1"/>
  <c r="N12" i="1"/>
  <c r="N4" i="1"/>
  <c r="M102" i="1"/>
  <c r="M54" i="1"/>
  <c r="R76" i="1"/>
  <c r="R20" i="1"/>
  <c r="Q71" i="1"/>
  <c r="Q7" i="1"/>
  <c r="P109" i="1"/>
  <c r="P101" i="1"/>
  <c r="P93" i="1"/>
  <c r="P85" i="1"/>
  <c r="P77" i="1"/>
  <c r="P69" i="1"/>
  <c r="P61" i="1"/>
  <c r="P53" i="1"/>
  <c r="P45" i="1"/>
  <c r="P37" i="1"/>
  <c r="P29" i="1"/>
  <c r="P21" i="1"/>
  <c r="P13" i="1"/>
  <c r="P5" i="1"/>
  <c r="Q111" i="1"/>
  <c r="Q47" i="1"/>
  <c r="R115" i="1"/>
  <c r="R83" i="1"/>
  <c r="R43" i="1"/>
  <c r="R3" i="1"/>
  <c r="O101" i="1"/>
  <c r="R114" i="1"/>
  <c r="R106" i="1"/>
  <c r="R98" i="1"/>
  <c r="R90" i="1"/>
  <c r="R82" i="1"/>
  <c r="R74" i="1"/>
  <c r="R66" i="1"/>
  <c r="R58" i="1"/>
  <c r="R50" i="1"/>
  <c r="R42" i="1"/>
  <c r="R34" i="1"/>
  <c r="R26" i="1"/>
  <c r="R18" i="1"/>
  <c r="R10" i="1"/>
  <c r="O93" i="1"/>
  <c r="O29" i="1"/>
  <c r="O53" i="1"/>
  <c r="O109" i="1"/>
  <c r="R91" i="1"/>
  <c r="R51" i="1"/>
  <c r="R1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85" i="1"/>
  <c r="O21" i="1"/>
  <c r="R73" i="1"/>
  <c r="R9" i="1"/>
  <c r="R67" i="1"/>
  <c r="R19" i="1"/>
  <c r="O112" i="1"/>
  <c r="O104" i="1"/>
  <c r="O96" i="1"/>
  <c r="O88" i="1"/>
  <c r="O80" i="1"/>
  <c r="O72" i="1"/>
  <c r="O64" i="1"/>
  <c r="O56" i="1"/>
  <c r="O48" i="1"/>
  <c r="O40" i="1"/>
  <c r="O32" i="1"/>
  <c r="O24" i="1"/>
  <c r="O16" i="1"/>
  <c r="O8" i="1"/>
  <c r="G116" i="1"/>
  <c r="A127" i="1" s="1"/>
  <c r="O77" i="1"/>
  <c r="O13" i="1"/>
  <c r="R65" i="1"/>
  <c r="O45" i="1"/>
  <c r="R99" i="1"/>
  <c r="R59" i="1"/>
  <c r="R27" i="1"/>
  <c r="O37" i="1"/>
  <c r="H116" i="1"/>
  <c r="A128" i="1" s="1"/>
  <c r="O69" i="1"/>
  <c r="O5" i="1"/>
  <c r="R57" i="1"/>
  <c r="R107" i="1"/>
  <c r="R75" i="1"/>
  <c r="R35" i="1"/>
  <c r="O61" i="1"/>
  <c r="R113" i="1"/>
  <c r="R49" i="1"/>
  <c r="E116" i="1"/>
  <c r="A125" i="1" s="1"/>
  <c r="O2" i="1"/>
  <c r="O108" i="1"/>
  <c r="O100" i="1"/>
  <c r="O92" i="1"/>
  <c r="O84" i="1"/>
  <c r="O76" i="1"/>
  <c r="O68" i="1"/>
  <c r="O60" i="1"/>
  <c r="O52" i="1"/>
  <c r="O44" i="1"/>
  <c r="O36" i="1"/>
  <c r="O28" i="1"/>
  <c r="O20" i="1"/>
  <c r="O12" i="1"/>
  <c r="O4" i="1"/>
  <c r="R112" i="1"/>
  <c r="R104" i="1"/>
  <c r="R96" i="1"/>
  <c r="R88" i="1"/>
  <c r="R80" i="1"/>
  <c r="R72" i="1"/>
  <c r="R64" i="1"/>
  <c r="R56" i="1"/>
  <c r="R48" i="1"/>
  <c r="R40" i="1"/>
  <c r="R32" i="1"/>
  <c r="R24" i="1"/>
  <c r="R16" i="1"/>
  <c r="R8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3" i="1"/>
  <c r="R111" i="1"/>
  <c r="R103" i="1"/>
  <c r="R95" i="1"/>
  <c r="R87" i="1"/>
  <c r="R79" i="1"/>
  <c r="R71" i="1"/>
  <c r="R63" i="1"/>
  <c r="R55" i="1"/>
  <c r="R47" i="1"/>
  <c r="R39" i="1"/>
  <c r="R31" i="1"/>
  <c r="R23" i="1"/>
  <c r="R15" i="1"/>
  <c r="R7" i="1"/>
  <c r="F116" i="1"/>
  <c r="A126" i="1" s="1"/>
  <c r="O114" i="1"/>
  <c r="O106" i="1"/>
  <c r="O98" i="1"/>
  <c r="O90" i="1"/>
  <c r="O82" i="1"/>
  <c r="O74" i="1"/>
  <c r="O66" i="1"/>
  <c r="O58" i="1"/>
  <c r="O50" i="1"/>
  <c r="O42" i="1"/>
  <c r="O34" i="1"/>
  <c r="O26" i="1"/>
  <c r="O18" i="1"/>
  <c r="O10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6" i="1"/>
  <c r="A137" i="1"/>
  <c r="A170" i="1" l="1"/>
  <c r="A168" i="1"/>
  <c r="A166" i="1"/>
  <c r="AN59" i="1"/>
  <c r="A171" i="1"/>
  <c r="AN2" i="1"/>
  <c r="A169" i="1"/>
  <c r="A163" i="1"/>
  <c r="A164" i="1"/>
  <c r="X42" i="1"/>
  <c r="AL81" i="1"/>
  <c r="AL42" i="1"/>
  <c r="AK2" i="1"/>
  <c r="AK41" i="1"/>
  <c r="AK105" i="1"/>
  <c r="AK26" i="1"/>
  <c r="AK90" i="1"/>
  <c r="AK51" i="1"/>
  <c r="AK28" i="1"/>
  <c r="AK92" i="1"/>
  <c r="AK93" i="1"/>
  <c r="AK49" i="1"/>
  <c r="AK113" i="1"/>
  <c r="AK34" i="1"/>
  <c r="AK98" i="1"/>
  <c r="AK59" i="1"/>
  <c r="AK36" i="1"/>
  <c r="AK100" i="1"/>
  <c r="AK21" i="1"/>
  <c r="AK109" i="1"/>
  <c r="AK14" i="1"/>
  <c r="AK46" i="1"/>
  <c r="AK78" i="1"/>
  <c r="AK110" i="1"/>
  <c r="AK31" i="1"/>
  <c r="AK63" i="1"/>
  <c r="AK95" i="1"/>
  <c r="AK16" i="1"/>
  <c r="AK48" i="1"/>
  <c r="AK80" i="1"/>
  <c r="AK112" i="1"/>
  <c r="AK57" i="1"/>
  <c r="AK42" i="1"/>
  <c r="AK106" i="1"/>
  <c r="AK3" i="1"/>
  <c r="AK67" i="1"/>
  <c r="AK44" i="1"/>
  <c r="AK108" i="1"/>
  <c r="AK13" i="1"/>
  <c r="AK85" i="1"/>
  <c r="AK65" i="1"/>
  <c r="AK50" i="1"/>
  <c r="AK114" i="1"/>
  <c r="AK11" i="1"/>
  <c r="AK75" i="1"/>
  <c r="AK52" i="1"/>
  <c r="AK5" i="1"/>
  <c r="AK77" i="1"/>
  <c r="AK22" i="1"/>
  <c r="AK54" i="1"/>
  <c r="AK86" i="1"/>
  <c r="AK7" i="1"/>
  <c r="AK39" i="1"/>
  <c r="AK71" i="1"/>
  <c r="AK103" i="1"/>
  <c r="AK24" i="1"/>
  <c r="AK56" i="1"/>
  <c r="AK88" i="1"/>
  <c r="AK9" i="1"/>
  <c r="AK73" i="1"/>
  <c r="AK58" i="1"/>
  <c r="AK19" i="1"/>
  <c r="AK83" i="1"/>
  <c r="AK60" i="1"/>
  <c r="AK69" i="1"/>
  <c r="AK37" i="1"/>
  <c r="AK17" i="1"/>
  <c r="AK81" i="1"/>
  <c r="AK66" i="1"/>
  <c r="AK27" i="1"/>
  <c r="AK91" i="1"/>
  <c r="AK4" i="1"/>
  <c r="AK68" i="1"/>
  <c r="AK101" i="1"/>
  <c r="AK30" i="1"/>
  <c r="AK62" i="1"/>
  <c r="AK94" i="1"/>
  <c r="AK15" i="1"/>
  <c r="AK47" i="1"/>
  <c r="AK79" i="1"/>
  <c r="AK111" i="1"/>
  <c r="AK32" i="1"/>
  <c r="AK64" i="1"/>
  <c r="AK96" i="1"/>
  <c r="AK25" i="1"/>
  <c r="AK89" i="1"/>
  <c r="AK10" i="1"/>
  <c r="AK74" i="1"/>
  <c r="AK35" i="1"/>
  <c r="AK99" i="1"/>
  <c r="AK12" i="1"/>
  <c r="AK76" i="1"/>
  <c r="AK45" i="1"/>
  <c r="AK33" i="1"/>
  <c r="AK97" i="1"/>
  <c r="AK18" i="1"/>
  <c r="AK82" i="1"/>
  <c r="AK43" i="1"/>
  <c r="AK107" i="1"/>
  <c r="AK20" i="1"/>
  <c r="AK84" i="1"/>
  <c r="AK29" i="1"/>
  <c r="AK53" i="1"/>
  <c r="AK115" i="1"/>
  <c r="AK61" i="1"/>
  <c r="AK6" i="1"/>
  <c r="AK38" i="1"/>
  <c r="AK70" i="1"/>
  <c r="AK102" i="1"/>
  <c r="AK23" i="1"/>
  <c r="AK55" i="1"/>
  <c r="AK87" i="1"/>
  <c r="AK8" i="1"/>
  <c r="AK40" i="1"/>
  <c r="AK72" i="1"/>
  <c r="AK104" i="1"/>
  <c r="W63" i="1"/>
  <c r="AM33" i="1"/>
  <c r="AM17" i="1"/>
  <c r="AM81" i="1"/>
  <c r="AM66" i="1"/>
  <c r="AM27" i="1"/>
  <c r="AM91" i="1"/>
  <c r="AM4" i="1"/>
  <c r="AM68" i="1"/>
  <c r="AM101" i="1"/>
  <c r="X58" i="1"/>
  <c r="AM25" i="1"/>
  <c r="AM89" i="1"/>
  <c r="AM10" i="1"/>
  <c r="AM74" i="1"/>
  <c r="AM35" i="1"/>
  <c r="AM99" i="1"/>
  <c r="AM12" i="1"/>
  <c r="AM76" i="1"/>
  <c r="AM45" i="1"/>
  <c r="AL58" i="1"/>
  <c r="AM14" i="1"/>
  <c r="AM46" i="1"/>
  <c r="AM78" i="1"/>
  <c r="AM110" i="1"/>
  <c r="AM31" i="1"/>
  <c r="AM63" i="1"/>
  <c r="AM95" i="1"/>
  <c r="AM16" i="1"/>
  <c r="AM48" i="1"/>
  <c r="AM80" i="1"/>
  <c r="AM112" i="1"/>
  <c r="AM18" i="1"/>
  <c r="AM84" i="1"/>
  <c r="AM53" i="1"/>
  <c r="AM41" i="1"/>
  <c r="AM105" i="1"/>
  <c r="AM26" i="1"/>
  <c r="AM90" i="1"/>
  <c r="AM51" i="1"/>
  <c r="AM28" i="1"/>
  <c r="AM92" i="1"/>
  <c r="AM93" i="1"/>
  <c r="AM22" i="1"/>
  <c r="AM54" i="1"/>
  <c r="AM86" i="1"/>
  <c r="AM7" i="1"/>
  <c r="AM39" i="1"/>
  <c r="AM71" i="1"/>
  <c r="AM103" i="1"/>
  <c r="AM24" i="1"/>
  <c r="AM56" i="1"/>
  <c r="AM88" i="1"/>
  <c r="AM49" i="1"/>
  <c r="AM113" i="1"/>
  <c r="AM34" i="1"/>
  <c r="AM98" i="1"/>
  <c r="AM59" i="1"/>
  <c r="AM36" i="1"/>
  <c r="AM100" i="1"/>
  <c r="AM21" i="1"/>
  <c r="AM109" i="1"/>
  <c r="X26" i="1"/>
  <c r="AM43" i="1"/>
  <c r="AM29" i="1"/>
  <c r="AM57" i="1"/>
  <c r="AM42" i="1"/>
  <c r="AM106" i="1"/>
  <c r="AM3" i="1"/>
  <c r="AM67" i="1"/>
  <c r="AM44" i="1"/>
  <c r="AM108" i="1"/>
  <c r="AM13" i="1"/>
  <c r="AM85" i="1"/>
  <c r="AL26" i="1"/>
  <c r="AM30" i="1"/>
  <c r="AM62" i="1"/>
  <c r="AM94" i="1"/>
  <c r="AM15" i="1"/>
  <c r="AM47" i="1"/>
  <c r="AM79" i="1"/>
  <c r="AM111" i="1"/>
  <c r="AM32" i="1"/>
  <c r="AM64" i="1"/>
  <c r="AM96" i="1"/>
  <c r="AM82" i="1"/>
  <c r="AM20" i="1"/>
  <c r="AM65" i="1"/>
  <c r="AM50" i="1"/>
  <c r="AM114" i="1"/>
  <c r="AM11" i="1"/>
  <c r="AM75" i="1"/>
  <c r="AM52" i="1"/>
  <c r="AM5" i="1"/>
  <c r="AM77" i="1"/>
  <c r="AM97" i="1"/>
  <c r="AM107" i="1"/>
  <c r="AM9" i="1"/>
  <c r="AM73" i="1"/>
  <c r="AM58" i="1"/>
  <c r="AM19" i="1"/>
  <c r="AM83" i="1"/>
  <c r="AM60" i="1"/>
  <c r="AM69" i="1"/>
  <c r="AM37" i="1"/>
  <c r="AM115" i="1"/>
  <c r="AM61" i="1"/>
  <c r="AM6" i="1"/>
  <c r="AM38" i="1"/>
  <c r="AM70" i="1"/>
  <c r="AM102" i="1"/>
  <c r="AM23" i="1"/>
  <c r="AM55" i="1"/>
  <c r="AM87" i="1"/>
  <c r="AM8" i="1"/>
  <c r="AM40" i="1"/>
  <c r="AM72" i="1"/>
  <c r="AM104" i="1"/>
  <c r="AL25" i="1"/>
  <c r="W70" i="1"/>
  <c r="X66" i="1"/>
  <c r="AL114" i="1"/>
  <c r="X18" i="1"/>
  <c r="AL18" i="1"/>
  <c r="W104" i="1"/>
  <c r="W80" i="1"/>
  <c r="W6" i="1"/>
  <c r="X65" i="1"/>
  <c r="X82" i="1"/>
  <c r="W16" i="1"/>
  <c r="W14" i="1"/>
  <c r="AL65" i="1"/>
  <c r="AL82" i="1"/>
  <c r="W78" i="1"/>
  <c r="W23" i="1"/>
  <c r="W87" i="1"/>
  <c r="W48" i="1"/>
  <c r="X90" i="1"/>
  <c r="W115" i="1"/>
  <c r="X89" i="1"/>
  <c r="AL90" i="1"/>
  <c r="W61" i="1"/>
  <c r="W46" i="1"/>
  <c r="W110" i="1"/>
  <c r="W31" i="1"/>
  <c r="W95" i="1"/>
  <c r="X25" i="1"/>
  <c r="AL89" i="1"/>
  <c r="X114" i="1"/>
  <c r="W40" i="1"/>
  <c r="X81" i="1"/>
  <c r="AL106" i="1"/>
  <c r="AL66" i="1"/>
  <c r="W64" i="1"/>
  <c r="W94" i="1"/>
  <c r="W111" i="1"/>
  <c r="X49" i="1"/>
  <c r="X34" i="1"/>
  <c r="AL49" i="1"/>
  <c r="X17" i="1"/>
  <c r="X113" i="1"/>
  <c r="AL17" i="1"/>
  <c r="AL113" i="1"/>
  <c r="X106" i="1"/>
  <c r="W47" i="1"/>
  <c r="X57" i="1"/>
  <c r="W56" i="1"/>
  <c r="AL57" i="1"/>
  <c r="AL34" i="1"/>
  <c r="W22" i="1"/>
  <c r="W39" i="1"/>
  <c r="W86" i="1"/>
  <c r="W32" i="1"/>
  <c r="X98" i="1"/>
  <c r="W96" i="1"/>
  <c r="W79" i="1"/>
  <c r="AL98" i="1"/>
  <c r="X97" i="1"/>
  <c r="W62" i="1"/>
  <c r="W15" i="1"/>
  <c r="AL97" i="1"/>
  <c r="X33" i="1"/>
  <c r="AL33" i="1"/>
  <c r="AL50" i="1"/>
  <c r="W38" i="1"/>
  <c r="W102" i="1"/>
  <c r="AL73" i="1"/>
  <c r="X9" i="1"/>
  <c r="W8" i="1"/>
  <c r="W55" i="1"/>
  <c r="X50" i="1"/>
  <c r="W72" i="1"/>
  <c r="X73" i="1"/>
  <c r="AL9" i="1"/>
  <c r="AN116" i="1"/>
  <c r="AM2" i="1"/>
  <c r="U116" i="1"/>
  <c r="Y116" i="1"/>
  <c r="AB116" i="1"/>
  <c r="I116" i="1"/>
  <c r="L116" i="1"/>
  <c r="K116" i="1"/>
  <c r="AL2" i="1"/>
  <c r="X2" i="1"/>
  <c r="J116" i="1"/>
  <c r="W2" i="1"/>
  <c r="AL99" i="1"/>
  <c r="X99" i="1"/>
  <c r="W65" i="1"/>
  <c r="W50" i="1"/>
  <c r="AL74" i="1"/>
  <c r="X74" i="1"/>
  <c r="AL43" i="1"/>
  <c r="X43" i="1"/>
  <c r="AL107" i="1"/>
  <c r="X107" i="1"/>
  <c r="AL52" i="1"/>
  <c r="X52" i="1"/>
  <c r="W9" i="1"/>
  <c r="W73" i="1"/>
  <c r="AL37" i="1"/>
  <c r="X37" i="1"/>
  <c r="AL101" i="1"/>
  <c r="X101" i="1"/>
  <c r="W58" i="1"/>
  <c r="AL6" i="1"/>
  <c r="X6" i="1"/>
  <c r="AL70" i="1"/>
  <c r="X70" i="1"/>
  <c r="W19" i="1"/>
  <c r="W83" i="1"/>
  <c r="X47" i="1"/>
  <c r="AL47" i="1"/>
  <c r="X111" i="1"/>
  <c r="AL111" i="1"/>
  <c r="W60" i="1"/>
  <c r="W69" i="1"/>
  <c r="W37" i="1"/>
  <c r="AL112" i="1"/>
  <c r="X112" i="1"/>
  <c r="AL51" i="1"/>
  <c r="X51" i="1"/>
  <c r="AL60" i="1"/>
  <c r="X60" i="1"/>
  <c r="W17" i="1"/>
  <c r="W81" i="1"/>
  <c r="AL45" i="1"/>
  <c r="X45" i="1"/>
  <c r="AL109" i="1"/>
  <c r="X109" i="1"/>
  <c r="W66" i="1"/>
  <c r="AL14" i="1"/>
  <c r="X14" i="1"/>
  <c r="AL78" i="1"/>
  <c r="X78" i="1"/>
  <c r="W27" i="1"/>
  <c r="W91" i="1"/>
  <c r="X55" i="1"/>
  <c r="AL55" i="1"/>
  <c r="W4" i="1"/>
  <c r="W68" i="1"/>
  <c r="AL32" i="1"/>
  <c r="X32" i="1"/>
  <c r="W101" i="1"/>
  <c r="AL115" i="1"/>
  <c r="X115" i="1"/>
  <c r="AL44" i="1"/>
  <c r="X44" i="1"/>
  <c r="AL93" i="1"/>
  <c r="X93" i="1"/>
  <c r="AL62" i="1"/>
  <c r="X62" i="1"/>
  <c r="W52" i="1"/>
  <c r="AL59" i="1"/>
  <c r="X59" i="1"/>
  <c r="AL4" i="1"/>
  <c r="X4" i="1"/>
  <c r="AL68" i="1"/>
  <c r="X68" i="1"/>
  <c r="W25" i="1"/>
  <c r="W89" i="1"/>
  <c r="AL53" i="1"/>
  <c r="X53" i="1"/>
  <c r="W10" i="1"/>
  <c r="W74" i="1"/>
  <c r="AL22" i="1"/>
  <c r="X22" i="1"/>
  <c r="AL86" i="1"/>
  <c r="X86" i="1"/>
  <c r="W35" i="1"/>
  <c r="W99" i="1"/>
  <c r="X63" i="1"/>
  <c r="AL63" i="1"/>
  <c r="W12" i="1"/>
  <c r="W76" i="1"/>
  <c r="AL96" i="1"/>
  <c r="X96" i="1"/>
  <c r="W45" i="1"/>
  <c r="W114" i="1"/>
  <c r="W5" i="1"/>
  <c r="AL3" i="1"/>
  <c r="X3" i="1"/>
  <c r="AL67" i="1"/>
  <c r="X67" i="1"/>
  <c r="AL12" i="1"/>
  <c r="X12" i="1"/>
  <c r="AL76" i="1"/>
  <c r="X76" i="1"/>
  <c r="W33" i="1"/>
  <c r="W97" i="1"/>
  <c r="AL61" i="1"/>
  <c r="X61" i="1"/>
  <c r="W18" i="1"/>
  <c r="W82" i="1"/>
  <c r="AL30" i="1"/>
  <c r="X30" i="1"/>
  <c r="AL94" i="1"/>
  <c r="X94" i="1"/>
  <c r="W43" i="1"/>
  <c r="W107" i="1"/>
  <c r="X7" i="1"/>
  <c r="AL7" i="1"/>
  <c r="X71" i="1"/>
  <c r="AL71" i="1"/>
  <c r="W20" i="1"/>
  <c r="W84" i="1"/>
  <c r="AL56" i="1"/>
  <c r="X56" i="1"/>
  <c r="AL24" i="1"/>
  <c r="X24" i="1"/>
  <c r="W29" i="1"/>
  <c r="W53" i="1"/>
  <c r="W75" i="1"/>
  <c r="X103" i="1"/>
  <c r="AL103" i="1"/>
  <c r="W77" i="1"/>
  <c r="AL104" i="1"/>
  <c r="X104" i="1"/>
  <c r="AL11" i="1"/>
  <c r="X11" i="1"/>
  <c r="AL75" i="1"/>
  <c r="X75" i="1"/>
  <c r="AL20" i="1"/>
  <c r="X20" i="1"/>
  <c r="AL84" i="1"/>
  <c r="X84" i="1"/>
  <c r="W41" i="1"/>
  <c r="W105" i="1"/>
  <c r="AL5" i="1"/>
  <c r="X5" i="1"/>
  <c r="AL69" i="1"/>
  <c r="X69" i="1"/>
  <c r="W26" i="1"/>
  <c r="W90" i="1"/>
  <c r="AL38" i="1"/>
  <c r="X38" i="1"/>
  <c r="AL102" i="1"/>
  <c r="X102" i="1"/>
  <c r="W51" i="1"/>
  <c r="AL15" i="1"/>
  <c r="X15" i="1"/>
  <c r="AL79" i="1"/>
  <c r="X79" i="1"/>
  <c r="W28" i="1"/>
  <c r="W92" i="1"/>
  <c r="AL64" i="1"/>
  <c r="X64" i="1"/>
  <c r="AL16" i="1"/>
  <c r="X16" i="1"/>
  <c r="AL88" i="1"/>
  <c r="X88" i="1"/>
  <c r="W93" i="1"/>
  <c r="AL10" i="1"/>
  <c r="X10" i="1"/>
  <c r="X39" i="1"/>
  <c r="AL39" i="1"/>
  <c r="AL19" i="1"/>
  <c r="X19" i="1"/>
  <c r="AL83" i="1"/>
  <c r="X83" i="1"/>
  <c r="AL28" i="1"/>
  <c r="X28" i="1"/>
  <c r="AL92" i="1"/>
  <c r="X92" i="1"/>
  <c r="W49" i="1"/>
  <c r="W113" i="1"/>
  <c r="AL13" i="1"/>
  <c r="X13" i="1"/>
  <c r="AL77" i="1"/>
  <c r="X77" i="1"/>
  <c r="W34" i="1"/>
  <c r="W98" i="1"/>
  <c r="AL46" i="1"/>
  <c r="X46" i="1"/>
  <c r="AL110" i="1"/>
  <c r="X110" i="1"/>
  <c r="W59" i="1"/>
  <c r="X23" i="1"/>
  <c r="AL23" i="1"/>
  <c r="X87" i="1"/>
  <c r="AL87" i="1"/>
  <c r="W36" i="1"/>
  <c r="W100" i="1"/>
  <c r="AL8" i="1"/>
  <c r="X8" i="1"/>
  <c r="AL80" i="1"/>
  <c r="X80" i="1"/>
  <c r="W21" i="1"/>
  <c r="W109" i="1"/>
  <c r="AL35" i="1"/>
  <c r="X35" i="1"/>
  <c r="AL108" i="1"/>
  <c r="X108" i="1"/>
  <c r="AL29" i="1"/>
  <c r="X29" i="1"/>
  <c r="W11" i="1"/>
  <c r="AL27" i="1"/>
  <c r="X27" i="1"/>
  <c r="AL91" i="1"/>
  <c r="X91" i="1"/>
  <c r="AL36" i="1"/>
  <c r="X36" i="1"/>
  <c r="AL100" i="1"/>
  <c r="X100" i="1"/>
  <c r="W57" i="1"/>
  <c r="AL21" i="1"/>
  <c r="X21" i="1"/>
  <c r="AL85" i="1"/>
  <c r="X85" i="1"/>
  <c r="W42" i="1"/>
  <c r="W106" i="1"/>
  <c r="AL54" i="1"/>
  <c r="X54" i="1"/>
  <c r="W3" i="1"/>
  <c r="W67" i="1"/>
  <c r="X31" i="1"/>
  <c r="AL31" i="1"/>
  <c r="X95" i="1"/>
  <c r="AL95" i="1"/>
  <c r="W44" i="1"/>
  <c r="W108" i="1"/>
  <c r="AL72" i="1"/>
  <c r="X72" i="1"/>
  <c r="W13" i="1"/>
  <c r="W85" i="1"/>
  <c r="AL48" i="1"/>
  <c r="X48" i="1"/>
  <c r="AL40" i="1"/>
  <c r="X40" i="1"/>
  <c r="V116" i="1"/>
  <c r="A139" i="1" s="1"/>
  <c r="Q116" i="1"/>
  <c r="A132" i="1" s="1"/>
  <c r="N116" i="1"/>
  <c r="A133" i="1" s="1"/>
  <c r="P116" i="1"/>
  <c r="A135" i="1" s="1"/>
  <c r="O116" i="1"/>
  <c r="A131" i="1" s="1"/>
  <c r="M116" i="1"/>
  <c r="A130" i="1" s="1"/>
  <c r="R116" i="1"/>
  <c r="A134" i="1" s="1"/>
  <c r="AK116" i="1" l="1"/>
  <c r="AM116" i="1"/>
  <c r="A144" i="1" s="1"/>
  <c r="AL116" i="1"/>
  <c r="A143" i="1" s="1"/>
  <c r="X116" i="1"/>
  <c r="A141" i="1" s="1"/>
  <c r="W116" i="1"/>
  <c r="A140" i="1" s="1"/>
  <c r="A138" i="1"/>
</calcChain>
</file>

<file path=xl/sharedStrings.xml><?xml version="1.0" encoding="utf-8"?>
<sst xmlns="http://schemas.openxmlformats.org/spreadsheetml/2006/main" count="39" uniqueCount="39">
  <si>
    <t>Chapter Number</t>
  </si>
  <si>
    <t>Verse Count</t>
  </si>
  <si>
    <t>Odd Chapters</t>
  </si>
  <si>
    <t>Even Chapters</t>
  </si>
  <si>
    <t>Odd Verses</t>
  </si>
  <si>
    <t>Even Verses</t>
  </si>
  <si>
    <t>Odd Chapter, Odd Verse</t>
  </si>
  <si>
    <t>Odd Chapter, Even Verse</t>
  </si>
  <si>
    <t>Even Chapter, Odd Verse</t>
  </si>
  <si>
    <t>Even Chapter, Even Verse</t>
  </si>
  <si>
    <t>Homogeneous</t>
  </si>
  <si>
    <t>Heterogeneous</t>
  </si>
  <si>
    <t>Totals</t>
  </si>
  <si>
    <t>Chapter and Verse Sum</t>
  </si>
  <si>
    <t>Odd Sums</t>
  </si>
  <si>
    <t>Even Sums</t>
  </si>
  <si>
    <t>Sum of Odd Sums</t>
  </si>
  <si>
    <t>Sum of Even Sums</t>
  </si>
  <si>
    <t>Number of Chapters: 114</t>
  </si>
  <si>
    <t>Sum of Odd Chapters</t>
  </si>
  <si>
    <t>Sum of Even Chapters</t>
  </si>
  <si>
    <t>Sum of Odd Verses</t>
  </si>
  <si>
    <t>Sum of Even Verses</t>
  </si>
  <si>
    <t>Sum of Odd Sum Chapters</t>
  </si>
  <si>
    <t>Sum of Even Sum Chapters</t>
  </si>
  <si>
    <t>Sum of Odd Sum Verses</t>
  </si>
  <si>
    <t>Sum of Even Sum Verses</t>
  </si>
  <si>
    <t>Odd Chapters with Odd Sums</t>
  </si>
  <si>
    <t>Odd Chapters with Even Sums</t>
  </si>
  <si>
    <t>Even Chapters with Even Sums</t>
  </si>
  <si>
    <t>Even Chapters with Odd Sums</t>
  </si>
  <si>
    <t>Sum of Odd Chapters with Odd Sums</t>
  </si>
  <si>
    <t>Sum of Even Verses with Even Sums</t>
  </si>
  <si>
    <t>Sum of Even Verses with Odd Sums</t>
  </si>
  <si>
    <t>Sum of Odd Verses with Even Sums</t>
  </si>
  <si>
    <t>Sum of Odd Verses with Odd Sums</t>
  </si>
  <si>
    <t>Sum of Even Chapters with Even Sums</t>
  </si>
  <si>
    <t>Sum of Even Chapters with Odd Sums</t>
  </si>
  <si>
    <t>Sum of Odd Chapters with Even Sums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</si>
</sst>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801E5-7B9C-4BA7-88EC-C3DFFBDCFBAE}">
  <sheetPr codeName="Sheet1"/>
  <dimension ref="A1:AN207"/>
  <sheetViews>
    <sheetView tabSelected="1" zoomScaleNormal="100" workbookViewId="0">
      <selection activeCell="C3" sqref="C3"/>
    </sheetView>
  </sheetViews>
  <sheetFormatPr defaultRowHeight="15" outlineLevelRow="1" x14ac:dyDescent="0.25"/>
  <cols>
    <col min="1" max="1" width="9.5703125" style="1" customWidth="1"/>
    <col min="2" max="2" width="15.7109375" style="2" customWidth="1"/>
    <col min="3" max="3" width="11.5703125" style="2" customWidth="1"/>
    <col min="4" max="4" width="9.140625" style="2"/>
    <col min="5" max="5" width="12.85546875" style="2" customWidth="1"/>
    <col min="6" max="6" width="13.28515625" style="2" customWidth="1"/>
    <col min="7" max="8" width="11.42578125" style="2" customWidth="1"/>
    <col min="9" max="9" width="19.85546875" style="2" customWidth="1"/>
    <col min="10" max="10" width="20.28515625" style="2" customWidth="1"/>
    <col min="11" max="11" width="18.7109375" style="2" customWidth="1"/>
    <col min="12" max="12" width="18.42578125" style="2" customWidth="1"/>
    <col min="13" max="13" width="14" style="2" customWidth="1"/>
    <col min="14" max="14" width="14.42578125" style="2" customWidth="1"/>
    <col min="15" max="15" width="22" style="2" customWidth="1"/>
    <col min="16" max="16" width="22.85546875" style="2" customWidth="1"/>
    <col min="17" max="17" width="23.28515625" style="2" customWidth="1"/>
    <col min="18" max="18" width="22.5703125" style="2" customWidth="1"/>
    <col min="19" max="19" width="22.7109375" style="2" customWidth="1"/>
    <col min="20" max="20" width="23.28515625" style="2" customWidth="1"/>
    <col min="21" max="21" width="10.7109375" style="2" customWidth="1"/>
    <col min="22" max="22" width="10.5703125" style="2" customWidth="1"/>
    <col min="23" max="24" width="16.85546875" style="2" customWidth="1"/>
    <col min="25" max="25" width="27" style="2" customWidth="1"/>
    <col min="26" max="26" width="28.5703125" style="2" customWidth="1"/>
    <col min="27" max="27" width="27.28515625" style="2" customWidth="1"/>
    <col min="28" max="28" width="27.85546875" style="2" customWidth="1"/>
    <col min="29" max="29" width="34.140625" style="2" customWidth="1"/>
    <col min="30" max="30" width="34.42578125" style="2" customWidth="1"/>
    <col min="31" max="31" width="34.7109375" style="2" customWidth="1"/>
    <col min="32" max="32" width="34.85546875" style="2" customWidth="1"/>
    <col min="33" max="33" width="33.140625" style="2" customWidth="1"/>
    <col min="34" max="34" width="33.28515625" style="2" customWidth="1"/>
    <col min="35" max="35" width="33.5703125" style="2" customWidth="1"/>
    <col min="36" max="36" width="33.42578125" style="2" customWidth="1"/>
    <col min="37" max="37" width="24.140625" style="2" customWidth="1"/>
    <col min="38" max="38" width="25.42578125" style="2" customWidth="1"/>
    <col min="39" max="39" width="23" style="2" customWidth="1"/>
    <col min="40" max="40" width="23.7109375" style="2" customWidth="1"/>
    <col min="41" max="41" width="25.140625" style="2" customWidth="1"/>
    <col min="42" max="42" width="25.5703125" style="2" customWidth="1"/>
    <col min="43" max="43" width="30" style="2" customWidth="1"/>
    <col min="44" max="44" width="27.140625" style="2" customWidth="1"/>
    <col min="45" max="16384" width="9.140625" style="2"/>
  </cols>
  <sheetData>
    <row r="1" spans="2:40" s="1" customFormat="1" x14ac:dyDescent="0.25">
      <c r="B1" s="1" t="s">
        <v>0</v>
      </c>
      <c r="C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19</v>
      </c>
      <c r="J1" s="1" t="s">
        <v>20</v>
      </c>
      <c r="K1" s="1" t="s">
        <v>21</v>
      </c>
      <c r="L1" s="1" t="s">
        <v>22</v>
      </c>
      <c r="M1" s="1" t="s">
        <v>10</v>
      </c>
      <c r="N1" s="1" t="s">
        <v>11</v>
      </c>
      <c r="O1" s="1" t="s">
        <v>6</v>
      </c>
      <c r="P1" s="1" t="s">
        <v>8</v>
      </c>
      <c r="Q1" s="1" t="s">
        <v>9</v>
      </c>
      <c r="R1" s="1" t="s">
        <v>7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27</v>
      </c>
      <c r="Z1" s="1" t="s">
        <v>28</v>
      </c>
      <c r="AA1" s="1" t="s">
        <v>30</v>
      </c>
      <c r="AB1" s="1" t="s">
        <v>29</v>
      </c>
      <c r="AC1" s="1" t="s">
        <v>31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23</v>
      </c>
      <c r="AL1" s="1" t="s">
        <v>24</v>
      </c>
      <c r="AM1" s="1" t="s">
        <v>25</v>
      </c>
      <c r="AN1" s="1" t="s">
        <v>26</v>
      </c>
    </row>
    <row r="2" spans="2:40" x14ac:dyDescent="0.25">
      <c r="B2" s="2">
        <v>1</v>
      </c>
      <c r="C2" s="2">
        <v>7</v>
      </c>
      <c r="E2" s="2" t="b">
        <f>ISODD(B2)</f>
        <v>1</v>
      </c>
      <c r="F2" s="2" t="b">
        <f>ISEVEN(B2)</f>
        <v>0</v>
      </c>
      <c r="G2" s="2" t="b">
        <f>ISODD(C2)</f>
        <v>1</v>
      </c>
      <c r="H2" s="2" t="b">
        <f>ISEVEN(C2)</f>
        <v>0</v>
      </c>
      <c r="I2" s="2">
        <f>IF(E2, B2, "")</f>
        <v>1</v>
      </c>
      <c r="J2" s="2" t="str">
        <f>IF(F2, B2, "")</f>
        <v/>
      </c>
      <c r="K2" s="2">
        <f>IF(G2, C2, "")</f>
        <v>7</v>
      </c>
      <c r="L2" s="2" t="str">
        <f>IF(H2, C2, "")</f>
        <v/>
      </c>
      <c r="M2" s="2" t="b">
        <f>OR(AND(E2, G2), AND(F2, H2))</f>
        <v>1</v>
      </c>
      <c r="N2" s="2" t="b">
        <f>OR(AND(E2, H2), AND(F2, G2))</f>
        <v>0</v>
      </c>
      <c r="O2" s="2" t="b">
        <f>AND(E2, G2)</f>
        <v>1</v>
      </c>
      <c r="P2" s="2" t="b">
        <f>AND(F2, G2)</f>
        <v>0</v>
      </c>
      <c r="Q2" s="2" t="b">
        <f>AND(F2, H2)</f>
        <v>0</v>
      </c>
      <c r="R2" s="2" t="b">
        <f>AND(E2, H2)</f>
        <v>0</v>
      </c>
      <c r="T2" s="2">
        <f>SUM(B2, C2)</f>
        <v>8</v>
      </c>
      <c r="U2" s="2" t="b">
        <f>ISODD(T2)</f>
        <v>0</v>
      </c>
      <c r="V2" s="2" t="b">
        <f>ISEVEN(T2)</f>
        <v>1</v>
      </c>
      <c r="W2" s="2" t="str">
        <f>IF(U2, T2, "")</f>
        <v/>
      </c>
      <c r="X2" s="2">
        <f>IF(V2, T2, "")</f>
        <v>8</v>
      </c>
      <c r="Y2" s="2" t="b">
        <f>AND(ISODD(B2),ISODD(T2))</f>
        <v>0</v>
      </c>
      <c r="Z2" s="2" t="b">
        <f>AND(ISODD(B2),ISEVEN(T2))</f>
        <v>1</v>
      </c>
      <c r="AA2" s="2" t="b">
        <f>AND(ISEVEN(B2),ISODD(T2))</f>
        <v>0</v>
      </c>
      <c r="AB2" s="2" t="b">
        <f>AND(ISEVEN(B2),ISEVEN(T2))</f>
        <v>0</v>
      </c>
      <c r="AC2" s="2" t="str">
        <f>IF(AND(ISODD(B2),ISODD(T2)), B2, "")</f>
        <v/>
      </c>
      <c r="AD2" s="2">
        <f>IF(AND(ISODD(B2),ISEVEN(T2)), B2, "")</f>
        <v>1</v>
      </c>
      <c r="AE2" s="2" t="str">
        <f>IF(AND(ISEVEN(B2),ISODD(T2)), B2, "")</f>
        <v/>
      </c>
      <c r="AF2" s="2" t="str">
        <f>IF(AND(ISEVEN(B2),ISEVEN(T2)), B2, "")</f>
        <v/>
      </c>
      <c r="AG2" s="2" t="str">
        <f>IF(AND(ISODD(C2),ISODD(T2)), C2, "")</f>
        <v/>
      </c>
      <c r="AH2" s="2">
        <f>IF(AND(ISODD(C2),ISEVEN(T2)), C2, "")</f>
        <v>7</v>
      </c>
      <c r="AI2" s="2" t="str">
        <f>IF(AND(ISEVEN(C2),ISODD(T2)), C2, "")</f>
        <v/>
      </c>
      <c r="AJ2" s="2" t="str">
        <f>IF(AND(ISEVEN(C2),ISEVEN(T2)), C2, "")</f>
        <v/>
      </c>
      <c r="AK2" s="2" t="str">
        <f>IF(U2,B2, "")</f>
        <v/>
      </c>
      <c r="AL2" s="2">
        <f>IF(V2, B2, "")</f>
        <v>1</v>
      </c>
      <c r="AM2" s="2" t="str">
        <f>IF(U2, C2, "")</f>
        <v/>
      </c>
      <c r="AN2" s="2">
        <f>IF(V2, C2, "")</f>
        <v>7</v>
      </c>
    </row>
    <row r="3" spans="2:40" x14ac:dyDescent="0.25">
      <c r="B3" s="2">
        <v>2</v>
      </c>
      <c r="C3" s="2">
        <v>286</v>
      </c>
      <c r="E3" s="2" t="b">
        <f>ISODD(B3)</f>
        <v>0</v>
      </c>
      <c r="F3" s="2" t="b">
        <f>ISEVEN(B3)</f>
        <v>1</v>
      </c>
      <c r="G3" s="2" t="b">
        <f>ISODD(C3)</f>
        <v>0</v>
      </c>
      <c r="H3" s="2" t="b">
        <f>ISEVEN(C3)</f>
        <v>1</v>
      </c>
      <c r="I3" s="2" t="str">
        <f>IF(E3, B3, "")</f>
        <v/>
      </c>
      <c r="J3" s="2">
        <f>IF(F3, B3, "")</f>
        <v>2</v>
      </c>
      <c r="K3" s="2" t="str">
        <f>IF(G3, C3, "")</f>
        <v/>
      </c>
      <c r="L3" s="2">
        <f>IF(H3, C3, "")</f>
        <v>286</v>
      </c>
      <c r="M3" s="2" t="b">
        <f>OR(AND(E3, G3), AND(F3, H3))</f>
        <v>1</v>
      </c>
      <c r="N3" s="2" t="b">
        <f>OR(AND(E3, H3), AND(F3, G3))</f>
        <v>0</v>
      </c>
      <c r="O3" s="2" t="b">
        <f>AND(E3, G3)</f>
        <v>0</v>
      </c>
      <c r="P3" s="2" t="b">
        <f>AND(F3, G3)</f>
        <v>0</v>
      </c>
      <c r="Q3" s="2" t="b">
        <f>AND(F3, H3)</f>
        <v>1</v>
      </c>
      <c r="R3" s="2" t="b">
        <f>AND(E3, H3)</f>
        <v>0</v>
      </c>
      <c r="T3" s="2">
        <f>SUM(B3, C3)</f>
        <v>288</v>
      </c>
      <c r="U3" s="2" t="b">
        <f t="shared" ref="U3:U66" si="0">ISODD(T3)</f>
        <v>0</v>
      </c>
      <c r="V3" s="2" t="b">
        <f t="shared" ref="V3:V66" si="1">ISEVEN(T3)</f>
        <v>1</v>
      </c>
      <c r="W3" s="2" t="str">
        <f t="shared" ref="W3:W66" si="2">IF(U3, T3, "")</f>
        <v/>
      </c>
      <c r="X3" s="2">
        <f t="shared" ref="X3:X66" si="3">IF(V3, T3, "")</f>
        <v>288</v>
      </c>
      <c r="Y3" s="2" t="b">
        <f>AND(ISODD(B3),ISODD(T3))</f>
        <v>0</v>
      </c>
      <c r="Z3" s="2" t="b">
        <f>AND(ISODD(B3),ISEVEN(T3))</f>
        <v>0</v>
      </c>
      <c r="AA3" s="2" t="b">
        <f>AND(ISEVEN(B3),ISODD(T3))</f>
        <v>0</v>
      </c>
      <c r="AB3" s="2" t="b">
        <f>AND(ISEVEN(B3),ISEVEN(T3))</f>
        <v>1</v>
      </c>
      <c r="AC3" s="2" t="str">
        <f>IF(AND(ISODD(B3),ISODD(T3)), B3, "")</f>
        <v/>
      </c>
      <c r="AD3" s="2" t="str">
        <f>IF(AND(ISODD(B3),ISEVEN(T3)), B3, "")</f>
        <v/>
      </c>
      <c r="AE3" s="2" t="str">
        <f>IF(AND(ISEVEN(B3),ISODD(T3)), B3, "")</f>
        <v/>
      </c>
      <c r="AF3" s="2">
        <f>IF(AND(ISEVEN(B3),ISEVEN(T3)), B3, "")</f>
        <v>2</v>
      </c>
      <c r="AG3" s="2" t="str">
        <f>IF(AND(ISODD(C3),ISODD(T3)), C3, "")</f>
        <v/>
      </c>
      <c r="AH3" s="2" t="str">
        <f>IF(AND(ISODD(C3),ISEVEN(T3)), C3, "")</f>
        <v/>
      </c>
      <c r="AI3" s="2" t="str">
        <f>IF(AND(ISEVEN(C3),ISODD(T3)), C3, "")</f>
        <v/>
      </c>
      <c r="AJ3" s="2">
        <f>IF(AND(ISEVEN(C3),ISEVEN(T3)), C3, "")</f>
        <v>286</v>
      </c>
      <c r="AK3" s="2" t="str">
        <f>IF(U3,B3, "")</f>
        <v/>
      </c>
      <c r="AL3" s="2">
        <f>IF(V3, B3, "")</f>
        <v>2</v>
      </c>
      <c r="AM3" s="2" t="str">
        <f>IF(U3, C3, "")</f>
        <v/>
      </c>
      <c r="AN3" s="2">
        <f>IF(V3, C3, "")</f>
        <v>286</v>
      </c>
    </row>
    <row r="4" spans="2:40" x14ac:dyDescent="0.25">
      <c r="B4" s="2">
        <v>3</v>
      </c>
      <c r="C4" s="2">
        <v>200</v>
      </c>
      <c r="E4" s="2" t="b">
        <f>ISODD(B4)</f>
        <v>1</v>
      </c>
      <c r="F4" s="2" t="b">
        <f>ISEVEN(B4)</f>
        <v>0</v>
      </c>
      <c r="G4" s="2" t="b">
        <f>ISODD(C4)</f>
        <v>0</v>
      </c>
      <c r="H4" s="2" t="b">
        <f>ISEVEN(C4)</f>
        <v>1</v>
      </c>
      <c r="I4" s="2">
        <f>IF(E4, B4, "")</f>
        <v>3</v>
      </c>
      <c r="J4" s="2" t="str">
        <f>IF(F4, B4, "")</f>
        <v/>
      </c>
      <c r="K4" s="2" t="str">
        <f>IF(G4, C4, "")</f>
        <v/>
      </c>
      <c r="L4" s="2">
        <f>IF(H4, C4, "")</f>
        <v>200</v>
      </c>
      <c r="M4" s="2" t="b">
        <f>OR(AND(E4, G4), AND(F4, H4))</f>
        <v>0</v>
      </c>
      <c r="N4" s="2" t="b">
        <f>OR(AND(E4, H4), AND(F4, G4))</f>
        <v>1</v>
      </c>
      <c r="O4" s="2" t="b">
        <f>AND(E4, G4)</f>
        <v>0</v>
      </c>
      <c r="P4" s="2" t="b">
        <f>AND(F4, G4)</f>
        <v>0</v>
      </c>
      <c r="Q4" s="2" t="b">
        <f>AND(F4, H4)</f>
        <v>0</v>
      </c>
      <c r="R4" s="2" t="b">
        <f>AND(E4, H4)</f>
        <v>1</v>
      </c>
      <c r="T4" s="2">
        <f>SUM(B4, C4)</f>
        <v>203</v>
      </c>
      <c r="U4" s="2" t="b">
        <f t="shared" si="0"/>
        <v>1</v>
      </c>
      <c r="V4" s="2" t="b">
        <f t="shared" si="1"/>
        <v>0</v>
      </c>
      <c r="W4" s="2">
        <f t="shared" si="2"/>
        <v>203</v>
      </c>
      <c r="X4" s="2" t="str">
        <f t="shared" si="3"/>
        <v/>
      </c>
      <c r="Y4" s="2" t="b">
        <f>AND(ISODD(B4),ISODD(T4))</f>
        <v>1</v>
      </c>
      <c r="Z4" s="2" t="b">
        <f>AND(ISODD(B4),ISEVEN(T4))</f>
        <v>0</v>
      </c>
      <c r="AA4" s="2" t="b">
        <f>AND(ISEVEN(B4),ISODD(T4))</f>
        <v>0</v>
      </c>
      <c r="AB4" s="2" t="b">
        <f>AND(ISEVEN(B4),ISEVEN(T4))</f>
        <v>0</v>
      </c>
      <c r="AC4" s="2">
        <f>IF(AND(ISODD(B4),ISODD(T4)), B4, "")</f>
        <v>3</v>
      </c>
      <c r="AD4" s="2" t="str">
        <f>IF(AND(ISODD(B4),ISEVEN(T4)), B4, "")</f>
        <v/>
      </c>
      <c r="AE4" s="2" t="str">
        <f>IF(AND(ISEVEN(B4),ISODD(T4)), B4, "")</f>
        <v/>
      </c>
      <c r="AF4" s="2" t="str">
        <f>IF(AND(ISEVEN(B4),ISEVEN(T4)), B4, "")</f>
        <v/>
      </c>
      <c r="AG4" s="2" t="str">
        <f>IF(AND(ISODD(C4),ISODD(T4)), C4, "")</f>
        <v/>
      </c>
      <c r="AH4" s="2" t="str">
        <f>IF(AND(ISODD(C4),ISEVEN(T4)), C4, "")</f>
        <v/>
      </c>
      <c r="AI4" s="2">
        <f>IF(AND(ISEVEN(C4),ISODD(T4)), C4, "")</f>
        <v>200</v>
      </c>
      <c r="AJ4" s="2" t="str">
        <f>IF(AND(ISEVEN(C4),ISEVEN(T4)), C4, "")</f>
        <v/>
      </c>
      <c r="AK4" s="2">
        <f>IF(U4,B4, "")</f>
        <v>3</v>
      </c>
      <c r="AL4" s="2" t="str">
        <f>IF(V4, B4, "")</f>
        <v/>
      </c>
      <c r="AM4" s="2">
        <f>IF(U4, C4, "")</f>
        <v>200</v>
      </c>
      <c r="AN4" s="2" t="str">
        <f>IF(V4, C4, "")</f>
        <v/>
      </c>
    </row>
    <row r="5" spans="2:40" hidden="1" outlineLevel="1" x14ac:dyDescent="0.25">
      <c r="B5" s="2">
        <v>4</v>
      </c>
      <c r="C5" s="2">
        <v>176</v>
      </c>
      <c r="E5" s="2" t="b">
        <f>ISODD(B5)</f>
        <v>0</v>
      </c>
      <c r="F5" s="2" t="b">
        <f>ISEVEN(B5)</f>
        <v>1</v>
      </c>
      <c r="G5" s="2" t="b">
        <f>ISODD(C5)</f>
        <v>0</v>
      </c>
      <c r="H5" s="2" t="b">
        <f>ISEVEN(C5)</f>
        <v>1</v>
      </c>
      <c r="I5" s="2" t="str">
        <f>IF(E5, B5, "")</f>
        <v/>
      </c>
      <c r="J5" s="2">
        <f>IF(F5, B5, "")</f>
        <v>4</v>
      </c>
      <c r="K5" s="2" t="str">
        <f>IF(G5, C5, "")</f>
        <v/>
      </c>
      <c r="L5" s="2">
        <f>IF(H5, C5, "")</f>
        <v>176</v>
      </c>
      <c r="M5" s="2" t="b">
        <f>OR(AND(E5, G5), AND(F5, H5))</f>
        <v>1</v>
      </c>
      <c r="N5" s="2" t="b">
        <f>OR(AND(E5, H5), AND(F5, G5))</f>
        <v>0</v>
      </c>
      <c r="O5" s="2" t="b">
        <f>AND(E5, G5)</f>
        <v>0</v>
      </c>
      <c r="P5" s="2" t="b">
        <f>AND(F5, G5)</f>
        <v>0</v>
      </c>
      <c r="Q5" s="2" t="b">
        <f>AND(F5, H5)</f>
        <v>1</v>
      </c>
      <c r="R5" s="2" t="b">
        <f>AND(E5, H5)</f>
        <v>0</v>
      </c>
      <c r="T5" s="2">
        <f>SUM(B5, C5)</f>
        <v>180</v>
      </c>
      <c r="U5" s="2" t="b">
        <f t="shared" si="0"/>
        <v>0</v>
      </c>
      <c r="V5" s="2" t="b">
        <f t="shared" si="1"/>
        <v>1</v>
      </c>
      <c r="W5" s="2" t="str">
        <f t="shared" si="2"/>
        <v/>
      </c>
      <c r="X5" s="2">
        <f t="shared" si="3"/>
        <v>180</v>
      </c>
      <c r="Y5" s="2" t="b">
        <f>AND(ISODD(B5),ISODD(T5))</f>
        <v>0</v>
      </c>
      <c r="Z5" s="2" t="b">
        <f>AND(ISODD(B5),ISEVEN(T5))</f>
        <v>0</v>
      </c>
      <c r="AA5" s="2" t="b">
        <f>AND(ISEVEN(B5),ISODD(T5))</f>
        <v>0</v>
      </c>
      <c r="AB5" s="2" t="b">
        <f>AND(ISEVEN(B5),ISEVEN(T5))</f>
        <v>1</v>
      </c>
      <c r="AC5" s="2" t="str">
        <f>IF(AND(ISODD(B5),ISODD(T5)), B5, "")</f>
        <v/>
      </c>
      <c r="AD5" s="2" t="str">
        <f>IF(AND(ISODD(B5),ISEVEN(T5)), B5, "")</f>
        <v/>
      </c>
      <c r="AE5" s="2" t="str">
        <f>IF(AND(ISEVEN(B5),ISODD(T5)), B5, "")</f>
        <v/>
      </c>
      <c r="AF5" s="2">
        <f>IF(AND(ISEVEN(B5),ISEVEN(T5)), B5, "")</f>
        <v>4</v>
      </c>
      <c r="AG5" s="2" t="str">
        <f>IF(AND(ISODD(C5),ISODD(T5)), C5, "")</f>
        <v/>
      </c>
      <c r="AH5" s="2" t="str">
        <f>IF(AND(ISODD(C5),ISEVEN(T5)), C5, "")</f>
        <v/>
      </c>
      <c r="AI5" s="2" t="str">
        <f>IF(AND(ISEVEN(C5),ISODD(T5)), C5, "")</f>
        <v/>
      </c>
      <c r="AJ5" s="2">
        <f>IF(AND(ISEVEN(C5),ISEVEN(T5)), C5, "")</f>
        <v>176</v>
      </c>
      <c r="AK5" s="2" t="str">
        <f>IF(U5,B5, "")</f>
        <v/>
      </c>
      <c r="AL5" s="2">
        <f>IF(V5, B5, "")</f>
        <v>4</v>
      </c>
      <c r="AM5" s="2" t="str">
        <f>IF(U5, C5, "")</f>
        <v/>
      </c>
      <c r="AN5" s="2">
        <f>IF(V5, C5, "")</f>
        <v>176</v>
      </c>
    </row>
    <row r="6" spans="2:40" hidden="1" outlineLevel="1" x14ac:dyDescent="0.25">
      <c r="B6" s="2">
        <v>5</v>
      </c>
      <c r="C6" s="2">
        <v>120</v>
      </c>
      <c r="E6" s="2" t="b">
        <f>ISODD(B6)</f>
        <v>1</v>
      </c>
      <c r="F6" s="2" t="b">
        <f>ISEVEN(B6)</f>
        <v>0</v>
      </c>
      <c r="G6" s="2" t="b">
        <f>ISODD(C6)</f>
        <v>0</v>
      </c>
      <c r="H6" s="2" t="b">
        <f>ISEVEN(C6)</f>
        <v>1</v>
      </c>
      <c r="I6" s="2">
        <f>IF(E6, B6, "")</f>
        <v>5</v>
      </c>
      <c r="J6" s="2" t="str">
        <f>IF(F6, B6, "")</f>
        <v/>
      </c>
      <c r="K6" s="2" t="str">
        <f>IF(G6, C6, "")</f>
        <v/>
      </c>
      <c r="L6" s="2">
        <f>IF(H6, C6, "")</f>
        <v>120</v>
      </c>
      <c r="M6" s="2" t="b">
        <f>OR(AND(E6, G6), AND(F6, H6))</f>
        <v>0</v>
      </c>
      <c r="N6" s="2" t="b">
        <f>OR(AND(E6, H6), AND(F6, G6))</f>
        <v>1</v>
      </c>
      <c r="O6" s="2" t="b">
        <f>AND(E6, G6)</f>
        <v>0</v>
      </c>
      <c r="P6" s="2" t="b">
        <f>AND(F6, G6)</f>
        <v>0</v>
      </c>
      <c r="Q6" s="2" t="b">
        <f>AND(F6, H6)</f>
        <v>0</v>
      </c>
      <c r="R6" s="2" t="b">
        <f>AND(E6, H6)</f>
        <v>1</v>
      </c>
      <c r="T6" s="2">
        <f>SUM(B6, C6)</f>
        <v>125</v>
      </c>
      <c r="U6" s="2" t="b">
        <f t="shared" si="0"/>
        <v>1</v>
      </c>
      <c r="V6" s="2" t="b">
        <f t="shared" si="1"/>
        <v>0</v>
      </c>
      <c r="W6" s="2">
        <f t="shared" si="2"/>
        <v>125</v>
      </c>
      <c r="X6" s="2" t="str">
        <f t="shared" si="3"/>
        <v/>
      </c>
      <c r="Y6" s="2" t="b">
        <f>AND(ISODD(B6),ISODD(T6))</f>
        <v>1</v>
      </c>
      <c r="Z6" s="2" t="b">
        <f>AND(ISODD(B6),ISEVEN(T6))</f>
        <v>0</v>
      </c>
      <c r="AA6" s="2" t="b">
        <f>AND(ISEVEN(B6),ISODD(T6))</f>
        <v>0</v>
      </c>
      <c r="AB6" s="2" t="b">
        <f>AND(ISEVEN(B6),ISEVEN(T6))</f>
        <v>0</v>
      </c>
      <c r="AC6" s="2">
        <f>IF(AND(ISODD(B6),ISODD(T6)), B6, "")</f>
        <v>5</v>
      </c>
      <c r="AD6" s="2" t="str">
        <f>IF(AND(ISODD(B6),ISEVEN(T6)), B6, "")</f>
        <v/>
      </c>
      <c r="AE6" s="2" t="str">
        <f>IF(AND(ISEVEN(B6),ISODD(T6)), B6, "")</f>
        <v/>
      </c>
      <c r="AF6" s="2" t="str">
        <f>IF(AND(ISEVEN(B6),ISEVEN(T6)), B6, "")</f>
        <v/>
      </c>
      <c r="AG6" s="2" t="str">
        <f>IF(AND(ISODD(C6),ISODD(T6)), C6, "")</f>
        <v/>
      </c>
      <c r="AH6" s="2" t="str">
        <f>IF(AND(ISODD(C6),ISEVEN(T6)), C6, "")</f>
        <v/>
      </c>
      <c r="AI6" s="2">
        <f>IF(AND(ISEVEN(C6),ISODD(T6)), C6, "")</f>
        <v>120</v>
      </c>
      <c r="AJ6" s="2" t="str">
        <f>IF(AND(ISEVEN(C6),ISEVEN(T6)), C6, "")</f>
        <v/>
      </c>
      <c r="AK6" s="2">
        <f>IF(U6,B6, "")</f>
        <v>5</v>
      </c>
      <c r="AL6" s="2" t="str">
        <f>IF(V6, B6, "")</f>
        <v/>
      </c>
      <c r="AM6" s="2">
        <f>IF(U6, C6, "")</f>
        <v>120</v>
      </c>
      <c r="AN6" s="2" t="str">
        <f>IF(V6, C6, "")</f>
        <v/>
      </c>
    </row>
    <row r="7" spans="2:40" hidden="1" outlineLevel="1" x14ac:dyDescent="0.25">
      <c r="B7" s="2">
        <v>6</v>
      </c>
      <c r="C7" s="2">
        <v>165</v>
      </c>
      <c r="E7" s="2" t="b">
        <f>ISODD(B7)</f>
        <v>0</v>
      </c>
      <c r="F7" s="2" t="b">
        <f>ISEVEN(B7)</f>
        <v>1</v>
      </c>
      <c r="G7" s="2" t="b">
        <f>ISODD(C7)</f>
        <v>1</v>
      </c>
      <c r="H7" s="2" t="b">
        <f>ISEVEN(C7)</f>
        <v>0</v>
      </c>
      <c r="I7" s="2" t="str">
        <f>IF(E7, B7, "")</f>
        <v/>
      </c>
      <c r="J7" s="2">
        <f>IF(F7, B7, "")</f>
        <v>6</v>
      </c>
      <c r="K7" s="2">
        <f>IF(G7, C7, "")</f>
        <v>165</v>
      </c>
      <c r="L7" s="2" t="str">
        <f>IF(H7, C7, "")</f>
        <v/>
      </c>
      <c r="M7" s="2" t="b">
        <f>OR(AND(E7, G7), AND(F7, H7))</f>
        <v>0</v>
      </c>
      <c r="N7" s="2" t="b">
        <f>OR(AND(E7, H7), AND(F7, G7))</f>
        <v>1</v>
      </c>
      <c r="O7" s="2" t="b">
        <f>AND(E7, G7)</f>
        <v>0</v>
      </c>
      <c r="P7" s="2" t="b">
        <f>AND(F7, G7)</f>
        <v>1</v>
      </c>
      <c r="Q7" s="2" t="b">
        <f>AND(F7, H7)</f>
        <v>0</v>
      </c>
      <c r="R7" s="2" t="b">
        <f>AND(E7, H7)</f>
        <v>0</v>
      </c>
      <c r="T7" s="2">
        <f>SUM(B7, C7)</f>
        <v>171</v>
      </c>
      <c r="U7" s="2" t="b">
        <f t="shared" si="0"/>
        <v>1</v>
      </c>
      <c r="V7" s="2" t="b">
        <f t="shared" si="1"/>
        <v>0</v>
      </c>
      <c r="W7" s="2">
        <f t="shared" si="2"/>
        <v>171</v>
      </c>
      <c r="X7" s="2" t="str">
        <f t="shared" si="3"/>
        <v/>
      </c>
      <c r="Y7" s="2" t="b">
        <f>AND(ISODD(B7),ISODD(T7))</f>
        <v>0</v>
      </c>
      <c r="Z7" s="2" t="b">
        <f>AND(ISODD(B7),ISEVEN(T7))</f>
        <v>0</v>
      </c>
      <c r="AA7" s="2" t="b">
        <f>AND(ISEVEN(B7),ISODD(T7))</f>
        <v>1</v>
      </c>
      <c r="AB7" s="2" t="b">
        <f>AND(ISEVEN(B7),ISEVEN(T7))</f>
        <v>0</v>
      </c>
      <c r="AC7" s="2" t="str">
        <f>IF(AND(ISODD(B7),ISODD(T7)), B7, "")</f>
        <v/>
      </c>
      <c r="AD7" s="2" t="str">
        <f>IF(AND(ISODD(B7),ISEVEN(T7)), B7, "")</f>
        <v/>
      </c>
      <c r="AE7" s="2">
        <f>IF(AND(ISEVEN(B7),ISODD(T7)), B7, "")</f>
        <v>6</v>
      </c>
      <c r="AF7" s="2" t="str">
        <f>IF(AND(ISEVEN(B7),ISEVEN(T7)), B7, "")</f>
        <v/>
      </c>
      <c r="AG7" s="2">
        <f>IF(AND(ISODD(C7),ISODD(T7)), C7, "")</f>
        <v>165</v>
      </c>
      <c r="AH7" s="2" t="str">
        <f>IF(AND(ISODD(C7),ISEVEN(T7)), C7, "")</f>
        <v/>
      </c>
      <c r="AI7" s="2" t="str">
        <f>IF(AND(ISEVEN(C7),ISODD(T7)), C7, "")</f>
        <v/>
      </c>
      <c r="AJ7" s="2" t="str">
        <f>IF(AND(ISEVEN(C7),ISEVEN(T7)), C7, "")</f>
        <v/>
      </c>
      <c r="AK7" s="2">
        <f>IF(U7,B7, "")</f>
        <v>6</v>
      </c>
      <c r="AL7" s="2" t="str">
        <f>IF(V7, B7, "")</f>
        <v/>
      </c>
      <c r="AM7" s="2">
        <f>IF(U7, C7, "")</f>
        <v>165</v>
      </c>
      <c r="AN7" s="2" t="str">
        <f>IF(V7, C7, "")</f>
        <v/>
      </c>
    </row>
    <row r="8" spans="2:40" hidden="1" outlineLevel="1" x14ac:dyDescent="0.25">
      <c r="B8" s="2">
        <v>7</v>
      </c>
      <c r="C8" s="2">
        <v>206</v>
      </c>
      <c r="E8" s="2" t="b">
        <f>ISODD(B8)</f>
        <v>1</v>
      </c>
      <c r="F8" s="2" t="b">
        <f>ISEVEN(B8)</f>
        <v>0</v>
      </c>
      <c r="G8" s="2" t="b">
        <f>ISODD(C8)</f>
        <v>0</v>
      </c>
      <c r="H8" s="2" t="b">
        <f>ISEVEN(C8)</f>
        <v>1</v>
      </c>
      <c r="I8" s="2">
        <f>IF(E8, B8, "")</f>
        <v>7</v>
      </c>
      <c r="J8" s="2" t="str">
        <f>IF(F8, B8, "")</f>
        <v/>
      </c>
      <c r="K8" s="2" t="str">
        <f>IF(G8, C8, "")</f>
        <v/>
      </c>
      <c r="L8" s="2">
        <f>IF(H8, C8, "")</f>
        <v>206</v>
      </c>
      <c r="M8" s="2" t="b">
        <f>OR(AND(E8, G8), AND(F8, H8))</f>
        <v>0</v>
      </c>
      <c r="N8" s="2" t="b">
        <f>OR(AND(E8, H8), AND(F8, G8))</f>
        <v>1</v>
      </c>
      <c r="O8" s="2" t="b">
        <f>AND(E8, G8)</f>
        <v>0</v>
      </c>
      <c r="P8" s="2" t="b">
        <f>AND(F8, G8)</f>
        <v>0</v>
      </c>
      <c r="Q8" s="2" t="b">
        <f>AND(F8, H8)</f>
        <v>0</v>
      </c>
      <c r="R8" s="2" t="b">
        <f>AND(E8, H8)</f>
        <v>1</v>
      </c>
      <c r="T8" s="2">
        <f>SUM(B8, C8)</f>
        <v>213</v>
      </c>
      <c r="U8" s="2" t="b">
        <f t="shared" si="0"/>
        <v>1</v>
      </c>
      <c r="V8" s="2" t="b">
        <f t="shared" si="1"/>
        <v>0</v>
      </c>
      <c r="W8" s="2">
        <f t="shared" si="2"/>
        <v>213</v>
      </c>
      <c r="X8" s="2" t="str">
        <f t="shared" si="3"/>
        <v/>
      </c>
      <c r="Y8" s="2" t="b">
        <f>AND(ISODD(B8),ISODD(T8))</f>
        <v>1</v>
      </c>
      <c r="Z8" s="2" t="b">
        <f>AND(ISODD(B8),ISEVEN(T8))</f>
        <v>0</v>
      </c>
      <c r="AA8" s="2" t="b">
        <f>AND(ISEVEN(B8),ISODD(T8))</f>
        <v>0</v>
      </c>
      <c r="AB8" s="2" t="b">
        <f>AND(ISEVEN(B8),ISEVEN(T8))</f>
        <v>0</v>
      </c>
      <c r="AC8" s="2">
        <f>IF(AND(ISODD(B8),ISODD(T8)), B8, "")</f>
        <v>7</v>
      </c>
      <c r="AD8" s="2" t="str">
        <f>IF(AND(ISODD(B8),ISEVEN(T8)), B8, "")</f>
        <v/>
      </c>
      <c r="AE8" s="2" t="str">
        <f>IF(AND(ISEVEN(B8),ISODD(T8)), B8, "")</f>
        <v/>
      </c>
      <c r="AF8" s="2" t="str">
        <f>IF(AND(ISEVEN(B8),ISEVEN(T8)), B8, "")</f>
        <v/>
      </c>
      <c r="AG8" s="2" t="str">
        <f>IF(AND(ISODD(C8),ISODD(T8)), C8, "")</f>
        <v/>
      </c>
      <c r="AH8" s="2" t="str">
        <f>IF(AND(ISODD(C8),ISEVEN(T8)), C8, "")</f>
        <v/>
      </c>
      <c r="AI8" s="2">
        <f>IF(AND(ISEVEN(C8),ISODD(T8)), C8, "")</f>
        <v>206</v>
      </c>
      <c r="AJ8" s="2" t="str">
        <f>IF(AND(ISEVEN(C8),ISEVEN(T8)), C8, "")</f>
        <v/>
      </c>
      <c r="AK8" s="2">
        <f>IF(U8,B8, "")</f>
        <v>7</v>
      </c>
      <c r="AL8" s="2" t="str">
        <f>IF(V8, B8, "")</f>
        <v/>
      </c>
      <c r="AM8" s="2">
        <f>IF(U8, C8, "")</f>
        <v>206</v>
      </c>
      <c r="AN8" s="2" t="str">
        <f>IF(V8, C8, "")</f>
        <v/>
      </c>
    </row>
    <row r="9" spans="2:40" hidden="1" outlineLevel="1" x14ac:dyDescent="0.25">
      <c r="B9" s="2">
        <v>8</v>
      </c>
      <c r="C9" s="2">
        <v>75</v>
      </c>
      <c r="E9" s="2" t="b">
        <f>ISODD(B9)</f>
        <v>0</v>
      </c>
      <c r="F9" s="2" t="b">
        <f>ISEVEN(B9)</f>
        <v>1</v>
      </c>
      <c r="G9" s="2" t="b">
        <f>ISODD(C9)</f>
        <v>1</v>
      </c>
      <c r="H9" s="2" t="b">
        <f>ISEVEN(C9)</f>
        <v>0</v>
      </c>
      <c r="I9" s="2" t="str">
        <f>IF(E9, B9, "")</f>
        <v/>
      </c>
      <c r="J9" s="2">
        <f>IF(F9, B9, "")</f>
        <v>8</v>
      </c>
      <c r="K9" s="2">
        <f>IF(G9, C9, "")</f>
        <v>75</v>
      </c>
      <c r="L9" s="2" t="str">
        <f>IF(H9, C9, "")</f>
        <v/>
      </c>
      <c r="M9" s="2" t="b">
        <f>OR(AND(E9, G9), AND(F9, H9))</f>
        <v>0</v>
      </c>
      <c r="N9" s="2" t="b">
        <f>OR(AND(E9, H9), AND(F9, G9))</f>
        <v>1</v>
      </c>
      <c r="O9" s="2" t="b">
        <f>AND(E9, G9)</f>
        <v>0</v>
      </c>
      <c r="P9" s="2" t="b">
        <f>AND(F9, G9)</f>
        <v>1</v>
      </c>
      <c r="Q9" s="2" t="b">
        <f>AND(F9, H9)</f>
        <v>0</v>
      </c>
      <c r="R9" s="2" t="b">
        <f>AND(E9, H9)</f>
        <v>0</v>
      </c>
      <c r="T9" s="2">
        <f>SUM(B9, C9)</f>
        <v>83</v>
      </c>
      <c r="U9" s="2" t="b">
        <f t="shared" si="0"/>
        <v>1</v>
      </c>
      <c r="V9" s="2" t="b">
        <f t="shared" si="1"/>
        <v>0</v>
      </c>
      <c r="W9" s="2">
        <f t="shared" si="2"/>
        <v>83</v>
      </c>
      <c r="X9" s="2" t="str">
        <f t="shared" si="3"/>
        <v/>
      </c>
      <c r="Y9" s="2" t="b">
        <f>AND(ISODD(B9),ISODD(T9))</f>
        <v>0</v>
      </c>
      <c r="Z9" s="2" t="b">
        <f>AND(ISODD(B9),ISEVEN(T9))</f>
        <v>0</v>
      </c>
      <c r="AA9" s="2" t="b">
        <f>AND(ISEVEN(B9),ISODD(T9))</f>
        <v>1</v>
      </c>
      <c r="AB9" s="2" t="b">
        <f>AND(ISEVEN(B9),ISEVEN(T9))</f>
        <v>0</v>
      </c>
      <c r="AC9" s="2" t="str">
        <f>IF(AND(ISODD(B9),ISODD(T9)), B9, "")</f>
        <v/>
      </c>
      <c r="AD9" s="2" t="str">
        <f>IF(AND(ISODD(B9),ISEVEN(T9)), B9, "")</f>
        <v/>
      </c>
      <c r="AE9" s="2">
        <f>IF(AND(ISEVEN(B9),ISODD(T9)), B9, "")</f>
        <v>8</v>
      </c>
      <c r="AF9" s="2" t="str">
        <f>IF(AND(ISEVEN(B9),ISEVEN(T9)), B9, "")</f>
        <v/>
      </c>
      <c r="AG9" s="2">
        <f>IF(AND(ISODD(C9),ISODD(T9)), C9, "")</f>
        <v>75</v>
      </c>
      <c r="AH9" s="2" t="str">
        <f>IF(AND(ISODD(C9),ISEVEN(T9)), C9, "")</f>
        <v/>
      </c>
      <c r="AI9" s="2" t="str">
        <f>IF(AND(ISEVEN(C9),ISODD(T9)), C9, "")</f>
        <v/>
      </c>
      <c r="AJ9" s="2" t="str">
        <f>IF(AND(ISEVEN(C9),ISEVEN(T9)), C9, "")</f>
        <v/>
      </c>
      <c r="AK9" s="2">
        <f>IF(U9,B9, "")</f>
        <v>8</v>
      </c>
      <c r="AL9" s="2" t="str">
        <f>IF(V9, B9, "")</f>
        <v/>
      </c>
      <c r="AM9" s="2">
        <f>IF(U9, C9, "")</f>
        <v>75</v>
      </c>
      <c r="AN9" s="2" t="str">
        <f>IF(V9, C9, "")</f>
        <v/>
      </c>
    </row>
    <row r="10" spans="2:40" hidden="1" outlineLevel="1" x14ac:dyDescent="0.25">
      <c r="B10" s="2">
        <v>9</v>
      </c>
      <c r="C10" s="2">
        <v>129</v>
      </c>
      <c r="E10" s="2" t="b">
        <f>ISODD(B10)</f>
        <v>1</v>
      </c>
      <c r="F10" s="2" t="b">
        <f>ISEVEN(B10)</f>
        <v>0</v>
      </c>
      <c r="G10" s="2" t="b">
        <f>ISODD(C10)</f>
        <v>1</v>
      </c>
      <c r="H10" s="2" t="b">
        <f>ISEVEN(C10)</f>
        <v>0</v>
      </c>
      <c r="I10" s="2">
        <f>IF(E10, B10, "")</f>
        <v>9</v>
      </c>
      <c r="J10" s="2" t="str">
        <f>IF(F10, B10, "")</f>
        <v/>
      </c>
      <c r="K10" s="2">
        <f>IF(G10, C10, "")</f>
        <v>129</v>
      </c>
      <c r="L10" s="2" t="str">
        <f>IF(H10, C10, "")</f>
        <v/>
      </c>
      <c r="M10" s="2" t="b">
        <f>OR(AND(E10, G10), AND(F10, H10))</f>
        <v>1</v>
      </c>
      <c r="N10" s="2" t="b">
        <f>OR(AND(E10, H10), AND(F10, G10))</f>
        <v>0</v>
      </c>
      <c r="O10" s="2" t="b">
        <f>AND(E10, G10)</f>
        <v>1</v>
      </c>
      <c r="P10" s="2" t="b">
        <f>AND(F10, G10)</f>
        <v>0</v>
      </c>
      <c r="Q10" s="2" t="b">
        <f>AND(F10, H10)</f>
        <v>0</v>
      </c>
      <c r="R10" s="2" t="b">
        <f>AND(E10, H10)</f>
        <v>0</v>
      </c>
      <c r="T10" s="2">
        <f>SUM(B10, C10)</f>
        <v>138</v>
      </c>
      <c r="U10" s="2" t="b">
        <f t="shared" si="0"/>
        <v>0</v>
      </c>
      <c r="V10" s="2" t="b">
        <f t="shared" si="1"/>
        <v>1</v>
      </c>
      <c r="W10" s="2" t="str">
        <f t="shared" si="2"/>
        <v/>
      </c>
      <c r="X10" s="2">
        <f t="shared" si="3"/>
        <v>138</v>
      </c>
      <c r="Y10" s="2" t="b">
        <f>AND(ISODD(B10),ISODD(T10))</f>
        <v>0</v>
      </c>
      <c r="Z10" s="2" t="b">
        <f>AND(ISODD(B10),ISEVEN(T10))</f>
        <v>1</v>
      </c>
      <c r="AA10" s="2" t="b">
        <f>AND(ISEVEN(B10),ISODD(T10))</f>
        <v>0</v>
      </c>
      <c r="AB10" s="2" t="b">
        <f>AND(ISEVEN(B10),ISEVEN(T10))</f>
        <v>0</v>
      </c>
      <c r="AC10" s="2" t="str">
        <f>IF(AND(ISODD(B10),ISODD(T10)), B10, "")</f>
        <v/>
      </c>
      <c r="AD10" s="2">
        <f>IF(AND(ISODD(B10),ISEVEN(T10)), B10, "")</f>
        <v>9</v>
      </c>
      <c r="AE10" s="2" t="str">
        <f>IF(AND(ISEVEN(B10),ISODD(T10)), B10, "")</f>
        <v/>
      </c>
      <c r="AF10" s="2" t="str">
        <f>IF(AND(ISEVEN(B10),ISEVEN(T10)), B10, "")</f>
        <v/>
      </c>
      <c r="AG10" s="2" t="str">
        <f>IF(AND(ISODD(C10),ISODD(T10)), C10, "")</f>
        <v/>
      </c>
      <c r="AH10" s="2">
        <f>IF(AND(ISODD(C10),ISEVEN(T10)), C10, "")</f>
        <v>129</v>
      </c>
      <c r="AI10" s="2" t="str">
        <f>IF(AND(ISEVEN(C10),ISODD(T10)), C10, "")</f>
        <v/>
      </c>
      <c r="AJ10" s="2" t="str">
        <f>IF(AND(ISEVEN(C10),ISEVEN(T10)), C10, "")</f>
        <v/>
      </c>
      <c r="AK10" s="2" t="str">
        <f>IF(U10,B10, "")</f>
        <v/>
      </c>
      <c r="AL10" s="2">
        <f>IF(V10, B10, "")</f>
        <v>9</v>
      </c>
      <c r="AM10" s="2" t="str">
        <f>IF(U10, C10, "")</f>
        <v/>
      </c>
      <c r="AN10" s="2">
        <f>IF(V10, C10, "")</f>
        <v>129</v>
      </c>
    </row>
    <row r="11" spans="2:40" hidden="1" outlineLevel="1" x14ac:dyDescent="0.25">
      <c r="B11" s="2">
        <v>10</v>
      </c>
      <c r="C11" s="2">
        <v>109</v>
      </c>
      <c r="E11" s="2" t="b">
        <f>ISODD(B11)</f>
        <v>0</v>
      </c>
      <c r="F11" s="2" t="b">
        <f>ISEVEN(B11)</f>
        <v>1</v>
      </c>
      <c r="G11" s="2" t="b">
        <f>ISODD(C11)</f>
        <v>1</v>
      </c>
      <c r="H11" s="2" t="b">
        <f>ISEVEN(C11)</f>
        <v>0</v>
      </c>
      <c r="I11" s="2" t="str">
        <f>IF(E11, B11, "")</f>
        <v/>
      </c>
      <c r="J11" s="2">
        <f>IF(F11, B11, "")</f>
        <v>10</v>
      </c>
      <c r="K11" s="2">
        <f>IF(G11, C11, "")</f>
        <v>109</v>
      </c>
      <c r="L11" s="2" t="str">
        <f>IF(H11, C11, "")</f>
        <v/>
      </c>
      <c r="M11" s="2" t="b">
        <f>OR(AND(E11, G11), AND(F11, H11))</f>
        <v>0</v>
      </c>
      <c r="N11" s="2" t="b">
        <f>OR(AND(E11, H11), AND(F11, G11))</f>
        <v>1</v>
      </c>
      <c r="O11" s="2" t="b">
        <f>AND(E11, G11)</f>
        <v>0</v>
      </c>
      <c r="P11" s="2" t="b">
        <f>AND(F11, G11)</f>
        <v>1</v>
      </c>
      <c r="Q11" s="2" t="b">
        <f>AND(F11, H11)</f>
        <v>0</v>
      </c>
      <c r="R11" s="2" t="b">
        <f>AND(E11, H11)</f>
        <v>0</v>
      </c>
      <c r="T11" s="2">
        <f>SUM(B11, C11)</f>
        <v>119</v>
      </c>
      <c r="U11" s="2" t="b">
        <f t="shared" si="0"/>
        <v>1</v>
      </c>
      <c r="V11" s="2" t="b">
        <f t="shared" si="1"/>
        <v>0</v>
      </c>
      <c r="W11" s="2">
        <f t="shared" si="2"/>
        <v>119</v>
      </c>
      <c r="X11" s="2" t="str">
        <f t="shared" si="3"/>
        <v/>
      </c>
      <c r="Y11" s="2" t="b">
        <f>AND(ISODD(B11),ISODD(T11))</f>
        <v>0</v>
      </c>
      <c r="Z11" s="2" t="b">
        <f>AND(ISODD(B11),ISEVEN(T11))</f>
        <v>0</v>
      </c>
      <c r="AA11" s="2" t="b">
        <f>AND(ISEVEN(B11),ISODD(T11))</f>
        <v>1</v>
      </c>
      <c r="AB11" s="2" t="b">
        <f>AND(ISEVEN(B11),ISEVEN(T11))</f>
        <v>0</v>
      </c>
      <c r="AC11" s="2" t="str">
        <f>IF(AND(ISODD(B11),ISODD(T11)), B11, "")</f>
        <v/>
      </c>
      <c r="AD11" s="2" t="str">
        <f>IF(AND(ISODD(B11),ISEVEN(T11)), B11, "")</f>
        <v/>
      </c>
      <c r="AE11" s="2">
        <f>IF(AND(ISEVEN(B11),ISODD(T11)), B11, "")</f>
        <v>10</v>
      </c>
      <c r="AF11" s="2" t="str">
        <f>IF(AND(ISEVEN(B11),ISEVEN(T11)), B11, "")</f>
        <v/>
      </c>
      <c r="AG11" s="2">
        <f>IF(AND(ISODD(C11),ISODD(T11)), C11, "")</f>
        <v>109</v>
      </c>
      <c r="AH11" s="2" t="str">
        <f>IF(AND(ISODD(C11),ISEVEN(T11)), C11, "")</f>
        <v/>
      </c>
      <c r="AI11" s="2" t="str">
        <f>IF(AND(ISEVEN(C11),ISODD(T11)), C11, "")</f>
        <v/>
      </c>
      <c r="AJ11" s="2" t="str">
        <f>IF(AND(ISEVEN(C11),ISEVEN(T11)), C11, "")</f>
        <v/>
      </c>
      <c r="AK11" s="2">
        <f>IF(U11,B11, "")</f>
        <v>10</v>
      </c>
      <c r="AL11" s="2" t="str">
        <f>IF(V11, B11, "")</f>
        <v/>
      </c>
      <c r="AM11" s="2">
        <f>IF(U11, C11, "")</f>
        <v>109</v>
      </c>
      <c r="AN11" s="2" t="str">
        <f>IF(V11, C11, "")</f>
        <v/>
      </c>
    </row>
    <row r="12" spans="2:40" hidden="1" outlineLevel="1" x14ac:dyDescent="0.25">
      <c r="B12" s="2">
        <v>11</v>
      </c>
      <c r="C12" s="2">
        <v>123</v>
      </c>
      <c r="E12" s="2" t="b">
        <f>ISODD(B12)</f>
        <v>1</v>
      </c>
      <c r="F12" s="2" t="b">
        <f>ISEVEN(B12)</f>
        <v>0</v>
      </c>
      <c r="G12" s="2" t="b">
        <f>ISODD(C12)</f>
        <v>1</v>
      </c>
      <c r="H12" s="2" t="b">
        <f>ISEVEN(C12)</f>
        <v>0</v>
      </c>
      <c r="I12" s="2">
        <f>IF(E12, B12, "")</f>
        <v>11</v>
      </c>
      <c r="J12" s="2" t="str">
        <f>IF(F12, B12, "")</f>
        <v/>
      </c>
      <c r="K12" s="2">
        <f>IF(G12, C12, "")</f>
        <v>123</v>
      </c>
      <c r="L12" s="2" t="str">
        <f>IF(H12, C12, "")</f>
        <v/>
      </c>
      <c r="M12" s="2" t="b">
        <f>OR(AND(E12, G12), AND(F12, H12))</f>
        <v>1</v>
      </c>
      <c r="N12" s="2" t="b">
        <f>OR(AND(E12, H12), AND(F12, G12))</f>
        <v>0</v>
      </c>
      <c r="O12" s="2" t="b">
        <f>AND(E12, G12)</f>
        <v>1</v>
      </c>
      <c r="P12" s="2" t="b">
        <f>AND(F12, G12)</f>
        <v>0</v>
      </c>
      <c r="Q12" s="2" t="b">
        <f>AND(F12, H12)</f>
        <v>0</v>
      </c>
      <c r="R12" s="2" t="b">
        <f>AND(E12, H12)</f>
        <v>0</v>
      </c>
      <c r="T12" s="2">
        <f>SUM(B12, C12)</f>
        <v>134</v>
      </c>
      <c r="U12" s="2" t="b">
        <f t="shared" si="0"/>
        <v>0</v>
      </c>
      <c r="V12" s="2" t="b">
        <f t="shared" si="1"/>
        <v>1</v>
      </c>
      <c r="W12" s="2" t="str">
        <f t="shared" si="2"/>
        <v/>
      </c>
      <c r="X12" s="2">
        <f t="shared" si="3"/>
        <v>134</v>
      </c>
      <c r="Y12" s="2" t="b">
        <f>AND(ISODD(B12),ISODD(T12))</f>
        <v>0</v>
      </c>
      <c r="Z12" s="2" t="b">
        <f>AND(ISODD(B12),ISEVEN(T12))</f>
        <v>1</v>
      </c>
      <c r="AA12" s="2" t="b">
        <f>AND(ISEVEN(B12),ISODD(T12))</f>
        <v>0</v>
      </c>
      <c r="AB12" s="2" t="b">
        <f>AND(ISEVEN(B12),ISEVEN(T12))</f>
        <v>0</v>
      </c>
      <c r="AC12" s="2" t="str">
        <f>IF(AND(ISODD(B12),ISODD(T12)), B12, "")</f>
        <v/>
      </c>
      <c r="AD12" s="2">
        <f>IF(AND(ISODD(B12),ISEVEN(T12)), B12, "")</f>
        <v>11</v>
      </c>
      <c r="AE12" s="2" t="str">
        <f>IF(AND(ISEVEN(B12),ISODD(T12)), B12, "")</f>
        <v/>
      </c>
      <c r="AF12" s="2" t="str">
        <f>IF(AND(ISEVEN(B12),ISEVEN(T12)), B12, "")</f>
        <v/>
      </c>
      <c r="AG12" s="2" t="str">
        <f>IF(AND(ISODD(C12),ISODD(T12)), C12, "")</f>
        <v/>
      </c>
      <c r="AH12" s="2">
        <f>IF(AND(ISODD(C12),ISEVEN(T12)), C12, "")</f>
        <v>123</v>
      </c>
      <c r="AI12" s="2" t="str">
        <f>IF(AND(ISEVEN(C12),ISODD(T12)), C12, "")</f>
        <v/>
      </c>
      <c r="AJ12" s="2" t="str">
        <f>IF(AND(ISEVEN(C12),ISEVEN(T12)), C12, "")</f>
        <v/>
      </c>
      <c r="AK12" s="2" t="str">
        <f>IF(U12,B12, "")</f>
        <v/>
      </c>
      <c r="AL12" s="2">
        <f>IF(V12, B12, "")</f>
        <v>11</v>
      </c>
      <c r="AM12" s="2" t="str">
        <f>IF(U12, C12, "")</f>
        <v/>
      </c>
      <c r="AN12" s="2">
        <f>IF(V12, C12, "")</f>
        <v>123</v>
      </c>
    </row>
    <row r="13" spans="2:40" hidden="1" outlineLevel="1" x14ac:dyDescent="0.25">
      <c r="B13" s="2">
        <v>12</v>
      </c>
      <c r="C13" s="2">
        <v>111</v>
      </c>
      <c r="E13" s="2" t="b">
        <f>ISODD(B13)</f>
        <v>0</v>
      </c>
      <c r="F13" s="2" t="b">
        <f>ISEVEN(B13)</f>
        <v>1</v>
      </c>
      <c r="G13" s="2" t="b">
        <f>ISODD(C13)</f>
        <v>1</v>
      </c>
      <c r="H13" s="2" t="b">
        <f>ISEVEN(C13)</f>
        <v>0</v>
      </c>
      <c r="I13" s="2" t="str">
        <f>IF(E13, B13, "")</f>
        <v/>
      </c>
      <c r="J13" s="2">
        <f>IF(F13, B13, "")</f>
        <v>12</v>
      </c>
      <c r="K13" s="2">
        <f>IF(G13, C13, "")</f>
        <v>111</v>
      </c>
      <c r="L13" s="2" t="str">
        <f>IF(H13, C13, "")</f>
        <v/>
      </c>
      <c r="M13" s="2" t="b">
        <f>OR(AND(E13, G13), AND(F13, H13))</f>
        <v>0</v>
      </c>
      <c r="N13" s="2" t="b">
        <f>OR(AND(E13, H13), AND(F13, G13))</f>
        <v>1</v>
      </c>
      <c r="O13" s="2" t="b">
        <f>AND(E13, G13)</f>
        <v>0</v>
      </c>
      <c r="P13" s="2" t="b">
        <f>AND(F13, G13)</f>
        <v>1</v>
      </c>
      <c r="Q13" s="2" t="b">
        <f>AND(F13, H13)</f>
        <v>0</v>
      </c>
      <c r="R13" s="2" t="b">
        <f>AND(E13, H13)</f>
        <v>0</v>
      </c>
      <c r="T13" s="2">
        <f>SUM(B13, C13)</f>
        <v>123</v>
      </c>
      <c r="U13" s="2" t="b">
        <f t="shared" si="0"/>
        <v>1</v>
      </c>
      <c r="V13" s="2" t="b">
        <f t="shared" si="1"/>
        <v>0</v>
      </c>
      <c r="W13" s="2">
        <f t="shared" si="2"/>
        <v>123</v>
      </c>
      <c r="X13" s="2" t="str">
        <f t="shared" si="3"/>
        <v/>
      </c>
      <c r="Y13" s="2" t="b">
        <f>AND(ISODD(B13),ISODD(T13))</f>
        <v>0</v>
      </c>
      <c r="Z13" s="2" t="b">
        <f>AND(ISODD(B13),ISEVEN(T13))</f>
        <v>0</v>
      </c>
      <c r="AA13" s="2" t="b">
        <f>AND(ISEVEN(B13),ISODD(T13))</f>
        <v>1</v>
      </c>
      <c r="AB13" s="2" t="b">
        <f>AND(ISEVEN(B13),ISEVEN(T13))</f>
        <v>0</v>
      </c>
      <c r="AC13" s="2" t="str">
        <f>IF(AND(ISODD(B13),ISODD(T13)), B13, "")</f>
        <v/>
      </c>
      <c r="AD13" s="2" t="str">
        <f>IF(AND(ISODD(B13),ISEVEN(T13)), B13, "")</f>
        <v/>
      </c>
      <c r="AE13" s="2">
        <f>IF(AND(ISEVEN(B13),ISODD(T13)), B13, "")</f>
        <v>12</v>
      </c>
      <c r="AF13" s="2" t="str">
        <f>IF(AND(ISEVEN(B13),ISEVEN(T13)), B13, "")</f>
        <v/>
      </c>
      <c r="AG13" s="2">
        <f>IF(AND(ISODD(C13),ISODD(T13)), C13, "")</f>
        <v>111</v>
      </c>
      <c r="AH13" s="2" t="str">
        <f>IF(AND(ISODD(C13),ISEVEN(T13)), C13, "")</f>
        <v/>
      </c>
      <c r="AI13" s="2" t="str">
        <f>IF(AND(ISEVEN(C13),ISODD(T13)), C13, "")</f>
        <v/>
      </c>
      <c r="AJ13" s="2" t="str">
        <f>IF(AND(ISEVEN(C13),ISEVEN(T13)), C13, "")</f>
        <v/>
      </c>
      <c r="AK13" s="2">
        <f>IF(U13,B13, "")</f>
        <v>12</v>
      </c>
      <c r="AL13" s="2" t="str">
        <f>IF(V13, B13, "")</f>
        <v/>
      </c>
      <c r="AM13" s="2">
        <f>IF(U13, C13, "")</f>
        <v>111</v>
      </c>
      <c r="AN13" s="2" t="str">
        <f>IF(V13, C13, "")</f>
        <v/>
      </c>
    </row>
    <row r="14" spans="2:40" hidden="1" outlineLevel="1" x14ac:dyDescent="0.25">
      <c r="B14" s="2">
        <v>13</v>
      </c>
      <c r="C14" s="2">
        <v>43</v>
      </c>
      <c r="E14" s="2" t="b">
        <f>ISODD(B14)</f>
        <v>1</v>
      </c>
      <c r="F14" s="2" t="b">
        <f>ISEVEN(B14)</f>
        <v>0</v>
      </c>
      <c r="G14" s="2" t="b">
        <f>ISODD(C14)</f>
        <v>1</v>
      </c>
      <c r="H14" s="2" t="b">
        <f>ISEVEN(C14)</f>
        <v>0</v>
      </c>
      <c r="I14" s="2">
        <f>IF(E14, B14, "")</f>
        <v>13</v>
      </c>
      <c r="J14" s="2" t="str">
        <f>IF(F14, B14, "")</f>
        <v/>
      </c>
      <c r="K14" s="2">
        <f>IF(G14, C14, "")</f>
        <v>43</v>
      </c>
      <c r="L14" s="2" t="str">
        <f>IF(H14, C14, "")</f>
        <v/>
      </c>
      <c r="M14" s="2" t="b">
        <f>OR(AND(E14, G14), AND(F14, H14))</f>
        <v>1</v>
      </c>
      <c r="N14" s="2" t="b">
        <f>OR(AND(E14, H14), AND(F14, G14))</f>
        <v>0</v>
      </c>
      <c r="O14" s="2" t="b">
        <f>AND(E14, G14)</f>
        <v>1</v>
      </c>
      <c r="P14" s="2" t="b">
        <f>AND(F14, G14)</f>
        <v>0</v>
      </c>
      <c r="Q14" s="2" t="b">
        <f>AND(F14, H14)</f>
        <v>0</v>
      </c>
      <c r="R14" s="2" t="b">
        <f>AND(E14, H14)</f>
        <v>0</v>
      </c>
      <c r="T14" s="2">
        <f>SUM(B14, C14)</f>
        <v>56</v>
      </c>
      <c r="U14" s="2" t="b">
        <f t="shared" si="0"/>
        <v>0</v>
      </c>
      <c r="V14" s="2" t="b">
        <f t="shared" si="1"/>
        <v>1</v>
      </c>
      <c r="W14" s="2" t="str">
        <f t="shared" si="2"/>
        <v/>
      </c>
      <c r="X14" s="2">
        <f t="shared" si="3"/>
        <v>56</v>
      </c>
      <c r="Y14" s="2" t="b">
        <f>AND(ISODD(B14),ISODD(T14))</f>
        <v>0</v>
      </c>
      <c r="Z14" s="2" t="b">
        <f>AND(ISODD(B14),ISEVEN(T14))</f>
        <v>1</v>
      </c>
      <c r="AA14" s="2" t="b">
        <f>AND(ISEVEN(B14),ISODD(T14))</f>
        <v>0</v>
      </c>
      <c r="AB14" s="2" t="b">
        <f>AND(ISEVEN(B14),ISEVEN(T14))</f>
        <v>0</v>
      </c>
      <c r="AC14" s="2" t="str">
        <f>IF(AND(ISODD(B14),ISODD(T14)), B14, "")</f>
        <v/>
      </c>
      <c r="AD14" s="2">
        <f>IF(AND(ISODD(B14),ISEVEN(T14)), B14, "")</f>
        <v>13</v>
      </c>
      <c r="AE14" s="2" t="str">
        <f>IF(AND(ISEVEN(B14),ISODD(T14)), B14, "")</f>
        <v/>
      </c>
      <c r="AF14" s="2" t="str">
        <f>IF(AND(ISEVEN(B14),ISEVEN(T14)), B14, "")</f>
        <v/>
      </c>
      <c r="AG14" s="2" t="str">
        <f>IF(AND(ISODD(C14),ISODD(T14)), C14, "")</f>
        <v/>
      </c>
      <c r="AH14" s="2">
        <f>IF(AND(ISODD(C14),ISEVEN(T14)), C14, "")</f>
        <v>43</v>
      </c>
      <c r="AI14" s="2" t="str">
        <f>IF(AND(ISEVEN(C14),ISODD(T14)), C14, "")</f>
        <v/>
      </c>
      <c r="AJ14" s="2" t="str">
        <f>IF(AND(ISEVEN(C14),ISEVEN(T14)), C14, "")</f>
        <v/>
      </c>
      <c r="AK14" s="2" t="str">
        <f>IF(U14,B14, "")</f>
        <v/>
      </c>
      <c r="AL14" s="2">
        <f>IF(V14, B14, "")</f>
        <v>13</v>
      </c>
      <c r="AM14" s="2" t="str">
        <f>IF(U14, C14, "")</f>
        <v/>
      </c>
      <c r="AN14" s="2">
        <f>IF(V14, C14, "")</f>
        <v>43</v>
      </c>
    </row>
    <row r="15" spans="2:40" hidden="1" outlineLevel="1" x14ac:dyDescent="0.25">
      <c r="B15" s="2">
        <v>14</v>
      </c>
      <c r="C15" s="2">
        <v>52</v>
      </c>
      <c r="E15" s="2" t="b">
        <f>ISODD(B15)</f>
        <v>0</v>
      </c>
      <c r="F15" s="2" t="b">
        <f>ISEVEN(B15)</f>
        <v>1</v>
      </c>
      <c r="G15" s="2" t="b">
        <f>ISODD(C15)</f>
        <v>0</v>
      </c>
      <c r="H15" s="2" t="b">
        <f>ISEVEN(C15)</f>
        <v>1</v>
      </c>
      <c r="I15" s="2" t="str">
        <f>IF(E15, B15, "")</f>
        <v/>
      </c>
      <c r="J15" s="2">
        <f>IF(F15, B15, "")</f>
        <v>14</v>
      </c>
      <c r="K15" s="2" t="str">
        <f>IF(G15, C15, "")</f>
        <v/>
      </c>
      <c r="L15" s="2">
        <f>IF(H15, C15, "")</f>
        <v>52</v>
      </c>
      <c r="M15" s="2" t="b">
        <f>OR(AND(E15, G15), AND(F15, H15))</f>
        <v>1</v>
      </c>
      <c r="N15" s="2" t="b">
        <f>OR(AND(E15, H15), AND(F15, G15))</f>
        <v>0</v>
      </c>
      <c r="O15" s="2" t="b">
        <f>AND(E15, G15)</f>
        <v>0</v>
      </c>
      <c r="P15" s="2" t="b">
        <f>AND(F15, G15)</f>
        <v>0</v>
      </c>
      <c r="Q15" s="2" t="b">
        <f>AND(F15, H15)</f>
        <v>1</v>
      </c>
      <c r="R15" s="2" t="b">
        <f>AND(E15, H15)</f>
        <v>0</v>
      </c>
      <c r="T15" s="2">
        <f>SUM(B15, C15)</f>
        <v>66</v>
      </c>
      <c r="U15" s="2" t="b">
        <f t="shared" si="0"/>
        <v>0</v>
      </c>
      <c r="V15" s="2" t="b">
        <f t="shared" si="1"/>
        <v>1</v>
      </c>
      <c r="W15" s="2" t="str">
        <f t="shared" si="2"/>
        <v/>
      </c>
      <c r="X15" s="2">
        <f t="shared" si="3"/>
        <v>66</v>
      </c>
      <c r="Y15" s="2" t="b">
        <f>AND(ISODD(B15),ISODD(T15))</f>
        <v>0</v>
      </c>
      <c r="Z15" s="2" t="b">
        <f>AND(ISODD(B15),ISEVEN(T15))</f>
        <v>0</v>
      </c>
      <c r="AA15" s="2" t="b">
        <f>AND(ISEVEN(B15),ISODD(T15))</f>
        <v>0</v>
      </c>
      <c r="AB15" s="2" t="b">
        <f>AND(ISEVEN(B15),ISEVEN(T15))</f>
        <v>1</v>
      </c>
      <c r="AC15" s="2" t="str">
        <f>IF(AND(ISODD(B15),ISODD(T15)), B15, "")</f>
        <v/>
      </c>
      <c r="AD15" s="2" t="str">
        <f>IF(AND(ISODD(B15),ISEVEN(T15)), B15, "")</f>
        <v/>
      </c>
      <c r="AE15" s="2" t="str">
        <f>IF(AND(ISEVEN(B15),ISODD(T15)), B15, "")</f>
        <v/>
      </c>
      <c r="AF15" s="2">
        <f>IF(AND(ISEVEN(B15),ISEVEN(T15)), B15, "")</f>
        <v>14</v>
      </c>
      <c r="AG15" s="2" t="str">
        <f>IF(AND(ISODD(C15),ISODD(T15)), C15, "")</f>
        <v/>
      </c>
      <c r="AH15" s="2" t="str">
        <f>IF(AND(ISODD(C15),ISEVEN(T15)), C15, "")</f>
        <v/>
      </c>
      <c r="AI15" s="2" t="str">
        <f>IF(AND(ISEVEN(C15),ISODD(T15)), C15, "")</f>
        <v/>
      </c>
      <c r="AJ15" s="2">
        <f>IF(AND(ISEVEN(C15),ISEVEN(T15)), C15, "")</f>
        <v>52</v>
      </c>
      <c r="AK15" s="2" t="str">
        <f>IF(U15,B15, "")</f>
        <v/>
      </c>
      <c r="AL15" s="2">
        <f>IF(V15, B15, "")</f>
        <v>14</v>
      </c>
      <c r="AM15" s="2" t="str">
        <f>IF(U15, C15, "")</f>
        <v/>
      </c>
      <c r="AN15" s="2">
        <f>IF(V15, C15, "")</f>
        <v>52</v>
      </c>
    </row>
    <row r="16" spans="2:40" hidden="1" outlineLevel="1" x14ac:dyDescent="0.25">
      <c r="B16" s="2">
        <v>15</v>
      </c>
      <c r="C16" s="2">
        <v>99</v>
      </c>
      <c r="E16" s="2" t="b">
        <f>ISODD(B16)</f>
        <v>1</v>
      </c>
      <c r="F16" s="2" t="b">
        <f>ISEVEN(B16)</f>
        <v>0</v>
      </c>
      <c r="G16" s="2" t="b">
        <f>ISODD(C16)</f>
        <v>1</v>
      </c>
      <c r="H16" s="2" t="b">
        <f>ISEVEN(C16)</f>
        <v>0</v>
      </c>
      <c r="I16" s="2">
        <f>IF(E16, B16, "")</f>
        <v>15</v>
      </c>
      <c r="J16" s="2" t="str">
        <f>IF(F16, B16, "")</f>
        <v/>
      </c>
      <c r="K16" s="2">
        <f>IF(G16, C16, "")</f>
        <v>99</v>
      </c>
      <c r="L16" s="2" t="str">
        <f>IF(H16, C16, "")</f>
        <v/>
      </c>
      <c r="M16" s="2" t="b">
        <f>OR(AND(E16, G16), AND(F16, H16))</f>
        <v>1</v>
      </c>
      <c r="N16" s="2" t="b">
        <f>OR(AND(E16, H16), AND(F16, G16))</f>
        <v>0</v>
      </c>
      <c r="O16" s="2" t="b">
        <f>AND(E16, G16)</f>
        <v>1</v>
      </c>
      <c r="P16" s="2" t="b">
        <f>AND(F16, G16)</f>
        <v>0</v>
      </c>
      <c r="Q16" s="2" t="b">
        <f>AND(F16, H16)</f>
        <v>0</v>
      </c>
      <c r="R16" s="2" t="b">
        <f>AND(E16, H16)</f>
        <v>0</v>
      </c>
      <c r="T16" s="2">
        <f>SUM(B16, C16)</f>
        <v>114</v>
      </c>
      <c r="U16" s="2" t="b">
        <f t="shared" si="0"/>
        <v>0</v>
      </c>
      <c r="V16" s="2" t="b">
        <f t="shared" si="1"/>
        <v>1</v>
      </c>
      <c r="W16" s="2" t="str">
        <f t="shared" si="2"/>
        <v/>
      </c>
      <c r="X16" s="2">
        <f t="shared" si="3"/>
        <v>114</v>
      </c>
      <c r="Y16" s="2" t="b">
        <f>AND(ISODD(B16),ISODD(T16))</f>
        <v>0</v>
      </c>
      <c r="Z16" s="2" t="b">
        <f>AND(ISODD(B16),ISEVEN(T16))</f>
        <v>1</v>
      </c>
      <c r="AA16" s="2" t="b">
        <f>AND(ISEVEN(B16),ISODD(T16))</f>
        <v>0</v>
      </c>
      <c r="AB16" s="2" t="b">
        <f>AND(ISEVEN(B16),ISEVEN(T16))</f>
        <v>0</v>
      </c>
      <c r="AC16" s="2" t="str">
        <f>IF(AND(ISODD(B16),ISODD(T16)), B16, "")</f>
        <v/>
      </c>
      <c r="AD16" s="2">
        <f>IF(AND(ISODD(B16),ISEVEN(T16)), B16, "")</f>
        <v>15</v>
      </c>
      <c r="AE16" s="2" t="str">
        <f>IF(AND(ISEVEN(B16),ISODD(T16)), B16, "")</f>
        <v/>
      </c>
      <c r="AF16" s="2" t="str">
        <f>IF(AND(ISEVEN(B16),ISEVEN(T16)), B16, "")</f>
        <v/>
      </c>
      <c r="AG16" s="2" t="str">
        <f>IF(AND(ISODD(C16),ISODD(T16)), C16, "")</f>
        <v/>
      </c>
      <c r="AH16" s="2">
        <f>IF(AND(ISODD(C16),ISEVEN(T16)), C16, "")</f>
        <v>99</v>
      </c>
      <c r="AI16" s="2" t="str">
        <f>IF(AND(ISEVEN(C16),ISODD(T16)), C16, "")</f>
        <v/>
      </c>
      <c r="AJ16" s="2" t="str">
        <f>IF(AND(ISEVEN(C16),ISEVEN(T16)), C16, "")</f>
        <v/>
      </c>
      <c r="AK16" s="2" t="str">
        <f>IF(U16,B16, "")</f>
        <v/>
      </c>
      <c r="AL16" s="2">
        <f>IF(V16, B16, "")</f>
        <v>15</v>
      </c>
      <c r="AM16" s="2" t="str">
        <f>IF(U16, C16, "")</f>
        <v/>
      </c>
      <c r="AN16" s="2">
        <f>IF(V16, C16, "")</f>
        <v>99</v>
      </c>
    </row>
    <row r="17" spans="2:40" hidden="1" outlineLevel="1" x14ac:dyDescent="0.25">
      <c r="B17" s="2">
        <v>16</v>
      </c>
      <c r="C17" s="2">
        <v>128</v>
      </c>
      <c r="E17" s="2" t="b">
        <f>ISODD(B17)</f>
        <v>0</v>
      </c>
      <c r="F17" s="2" t="b">
        <f>ISEVEN(B17)</f>
        <v>1</v>
      </c>
      <c r="G17" s="2" t="b">
        <f>ISODD(C17)</f>
        <v>0</v>
      </c>
      <c r="H17" s="2" t="b">
        <f>ISEVEN(C17)</f>
        <v>1</v>
      </c>
      <c r="I17" s="2" t="str">
        <f>IF(E17, B17, "")</f>
        <v/>
      </c>
      <c r="J17" s="2">
        <f>IF(F17, B17, "")</f>
        <v>16</v>
      </c>
      <c r="K17" s="2" t="str">
        <f>IF(G17, C17, "")</f>
        <v/>
      </c>
      <c r="L17" s="2">
        <f>IF(H17, C17, "")</f>
        <v>128</v>
      </c>
      <c r="M17" s="2" t="b">
        <f>OR(AND(E17, G17), AND(F17, H17))</f>
        <v>1</v>
      </c>
      <c r="N17" s="2" t="b">
        <f>OR(AND(E17, H17), AND(F17, G17))</f>
        <v>0</v>
      </c>
      <c r="O17" s="2" t="b">
        <f>AND(E17, G17)</f>
        <v>0</v>
      </c>
      <c r="P17" s="2" t="b">
        <f>AND(F17, G17)</f>
        <v>0</v>
      </c>
      <c r="Q17" s="2" t="b">
        <f>AND(F17, H17)</f>
        <v>1</v>
      </c>
      <c r="R17" s="2" t="b">
        <f>AND(E17, H17)</f>
        <v>0</v>
      </c>
      <c r="T17" s="2">
        <f>SUM(B17, C17)</f>
        <v>144</v>
      </c>
      <c r="U17" s="2" t="b">
        <f t="shared" si="0"/>
        <v>0</v>
      </c>
      <c r="V17" s="2" t="b">
        <f t="shared" si="1"/>
        <v>1</v>
      </c>
      <c r="W17" s="2" t="str">
        <f t="shared" si="2"/>
        <v/>
      </c>
      <c r="X17" s="2">
        <f t="shared" si="3"/>
        <v>144</v>
      </c>
      <c r="Y17" s="2" t="b">
        <f>AND(ISODD(B17),ISODD(T17))</f>
        <v>0</v>
      </c>
      <c r="Z17" s="2" t="b">
        <f>AND(ISODD(B17),ISEVEN(T17))</f>
        <v>0</v>
      </c>
      <c r="AA17" s="2" t="b">
        <f>AND(ISEVEN(B17),ISODD(T17))</f>
        <v>0</v>
      </c>
      <c r="AB17" s="2" t="b">
        <f>AND(ISEVEN(B17),ISEVEN(T17))</f>
        <v>1</v>
      </c>
      <c r="AC17" s="2" t="str">
        <f>IF(AND(ISODD(B17),ISODD(T17)), B17, "")</f>
        <v/>
      </c>
      <c r="AD17" s="2" t="str">
        <f>IF(AND(ISODD(B17),ISEVEN(T17)), B17, "")</f>
        <v/>
      </c>
      <c r="AE17" s="2" t="str">
        <f>IF(AND(ISEVEN(B17),ISODD(T17)), B17, "")</f>
        <v/>
      </c>
      <c r="AF17" s="2">
        <f>IF(AND(ISEVEN(B17),ISEVEN(T17)), B17, "")</f>
        <v>16</v>
      </c>
      <c r="AG17" s="2" t="str">
        <f>IF(AND(ISODD(C17),ISODD(T17)), C17, "")</f>
        <v/>
      </c>
      <c r="AH17" s="2" t="str">
        <f>IF(AND(ISODD(C17),ISEVEN(T17)), C17, "")</f>
        <v/>
      </c>
      <c r="AI17" s="2" t="str">
        <f>IF(AND(ISEVEN(C17),ISODD(T17)), C17, "")</f>
        <v/>
      </c>
      <c r="AJ17" s="2">
        <f>IF(AND(ISEVEN(C17),ISEVEN(T17)), C17, "")</f>
        <v>128</v>
      </c>
      <c r="AK17" s="2" t="str">
        <f>IF(U17,B17, "")</f>
        <v/>
      </c>
      <c r="AL17" s="2">
        <f>IF(V17, B17, "")</f>
        <v>16</v>
      </c>
      <c r="AM17" s="2" t="str">
        <f>IF(U17, C17, "")</f>
        <v/>
      </c>
      <c r="AN17" s="2">
        <f>IF(V17, C17, "")</f>
        <v>128</v>
      </c>
    </row>
    <row r="18" spans="2:40" hidden="1" outlineLevel="1" x14ac:dyDescent="0.25">
      <c r="B18" s="2">
        <v>17</v>
      </c>
      <c r="C18" s="2">
        <v>111</v>
      </c>
      <c r="E18" s="2" t="b">
        <f>ISODD(B18)</f>
        <v>1</v>
      </c>
      <c r="F18" s="2" t="b">
        <f>ISEVEN(B18)</f>
        <v>0</v>
      </c>
      <c r="G18" s="2" t="b">
        <f>ISODD(C18)</f>
        <v>1</v>
      </c>
      <c r="H18" s="2" t="b">
        <f>ISEVEN(C18)</f>
        <v>0</v>
      </c>
      <c r="I18" s="2">
        <f>IF(E18, B18, "")</f>
        <v>17</v>
      </c>
      <c r="J18" s="2" t="str">
        <f>IF(F18, B18, "")</f>
        <v/>
      </c>
      <c r="K18" s="2">
        <f>IF(G18, C18, "")</f>
        <v>111</v>
      </c>
      <c r="L18" s="2" t="str">
        <f>IF(H18, C18, "")</f>
        <v/>
      </c>
      <c r="M18" s="2" t="b">
        <f>OR(AND(E18, G18), AND(F18, H18))</f>
        <v>1</v>
      </c>
      <c r="N18" s="2" t="b">
        <f>OR(AND(E18, H18), AND(F18, G18))</f>
        <v>0</v>
      </c>
      <c r="O18" s="2" t="b">
        <f>AND(E18, G18)</f>
        <v>1</v>
      </c>
      <c r="P18" s="2" t="b">
        <f>AND(F18, G18)</f>
        <v>0</v>
      </c>
      <c r="Q18" s="2" t="b">
        <f>AND(F18, H18)</f>
        <v>0</v>
      </c>
      <c r="R18" s="2" t="b">
        <f>AND(E18, H18)</f>
        <v>0</v>
      </c>
      <c r="T18" s="2">
        <f>SUM(B18, C18)</f>
        <v>128</v>
      </c>
      <c r="U18" s="2" t="b">
        <f t="shared" si="0"/>
        <v>0</v>
      </c>
      <c r="V18" s="2" t="b">
        <f t="shared" si="1"/>
        <v>1</v>
      </c>
      <c r="W18" s="2" t="str">
        <f t="shared" si="2"/>
        <v/>
      </c>
      <c r="X18" s="2">
        <f t="shared" si="3"/>
        <v>128</v>
      </c>
      <c r="Y18" s="2" t="b">
        <f>AND(ISODD(B18),ISODD(T18))</f>
        <v>0</v>
      </c>
      <c r="Z18" s="2" t="b">
        <f>AND(ISODD(B18),ISEVEN(T18))</f>
        <v>1</v>
      </c>
      <c r="AA18" s="2" t="b">
        <f>AND(ISEVEN(B18),ISODD(T18))</f>
        <v>0</v>
      </c>
      <c r="AB18" s="2" t="b">
        <f>AND(ISEVEN(B18),ISEVEN(T18))</f>
        <v>0</v>
      </c>
      <c r="AC18" s="2" t="str">
        <f>IF(AND(ISODD(B18),ISODD(T18)), B18, "")</f>
        <v/>
      </c>
      <c r="AD18" s="2">
        <f>IF(AND(ISODD(B18),ISEVEN(T18)), B18, "")</f>
        <v>17</v>
      </c>
      <c r="AE18" s="2" t="str">
        <f>IF(AND(ISEVEN(B18),ISODD(T18)), B18, "")</f>
        <v/>
      </c>
      <c r="AF18" s="2" t="str">
        <f>IF(AND(ISEVEN(B18),ISEVEN(T18)), B18, "")</f>
        <v/>
      </c>
      <c r="AG18" s="2" t="str">
        <f>IF(AND(ISODD(C18),ISODD(T18)), C18, "")</f>
        <v/>
      </c>
      <c r="AH18" s="2">
        <f>IF(AND(ISODD(C18),ISEVEN(T18)), C18, "")</f>
        <v>111</v>
      </c>
      <c r="AI18" s="2" t="str">
        <f>IF(AND(ISEVEN(C18),ISODD(T18)), C18, "")</f>
        <v/>
      </c>
      <c r="AJ18" s="2" t="str">
        <f>IF(AND(ISEVEN(C18),ISEVEN(T18)), C18, "")</f>
        <v/>
      </c>
      <c r="AK18" s="2" t="str">
        <f>IF(U18,B18, "")</f>
        <v/>
      </c>
      <c r="AL18" s="2">
        <f>IF(V18, B18, "")</f>
        <v>17</v>
      </c>
      <c r="AM18" s="2" t="str">
        <f>IF(U18, C18, "")</f>
        <v/>
      </c>
      <c r="AN18" s="2">
        <f>IF(V18, C18, "")</f>
        <v>111</v>
      </c>
    </row>
    <row r="19" spans="2:40" hidden="1" outlineLevel="1" x14ac:dyDescent="0.25">
      <c r="B19" s="2">
        <v>18</v>
      </c>
      <c r="C19" s="2">
        <v>110</v>
      </c>
      <c r="E19" s="2" t="b">
        <f>ISODD(B19)</f>
        <v>0</v>
      </c>
      <c r="F19" s="2" t="b">
        <f>ISEVEN(B19)</f>
        <v>1</v>
      </c>
      <c r="G19" s="2" t="b">
        <f>ISODD(C19)</f>
        <v>0</v>
      </c>
      <c r="H19" s="2" t="b">
        <f>ISEVEN(C19)</f>
        <v>1</v>
      </c>
      <c r="I19" s="2" t="str">
        <f>IF(E19, B19, "")</f>
        <v/>
      </c>
      <c r="J19" s="2">
        <f>IF(F19, B19, "")</f>
        <v>18</v>
      </c>
      <c r="K19" s="2" t="str">
        <f>IF(G19, C19, "")</f>
        <v/>
      </c>
      <c r="L19" s="2">
        <f>IF(H19, C19, "")</f>
        <v>110</v>
      </c>
      <c r="M19" s="2" t="b">
        <f>OR(AND(E19, G19), AND(F19, H19))</f>
        <v>1</v>
      </c>
      <c r="N19" s="2" t="b">
        <f>OR(AND(E19, H19), AND(F19, G19))</f>
        <v>0</v>
      </c>
      <c r="O19" s="2" t="b">
        <f>AND(E19, G19)</f>
        <v>0</v>
      </c>
      <c r="P19" s="2" t="b">
        <f>AND(F19, G19)</f>
        <v>0</v>
      </c>
      <c r="Q19" s="2" t="b">
        <f>AND(F19, H19)</f>
        <v>1</v>
      </c>
      <c r="R19" s="2" t="b">
        <f>AND(E19, H19)</f>
        <v>0</v>
      </c>
      <c r="T19" s="2">
        <f>SUM(B19, C19)</f>
        <v>128</v>
      </c>
      <c r="U19" s="2" t="b">
        <f t="shared" si="0"/>
        <v>0</v>
      </c>
      <c r="V19" s="2" t="b">
        <f t="shared" si="1"/>
        <v>1</v>
      </c>
      <c r="W19" s="2" t="str">
        <f t="shared" si="2"/>
        <v/>
      </c>
      <c r="X19" s="2">
        <f t="shared" si="3"/>
        <v>128</v>
      </c>
      <c r="Y19" s="2" t="b">
        <f>AND(ISODD(B19),ISODD(T19))</f>
        <v>0</v>
      </c>
      <c r="Z19" s="2" t="b">
        <f>AND(ISODD(B19),ISEVEN(T19))</f>
        <v>0</v>
      </c>
      <c r="AA19" s="2" t="b">
        <f>AND(ISEVEN(B19),ISODD(T19))</f>
        <v>0</v>
      </c>
      <c r="AB19" s="2" t="b">
        <f>AND(ISEVEN(B19),ISEVEN(T19))</f>
        <v>1</v>
      </c>
      <c r="AC19" s="2" t="str">
        <f>IF(AND(ISODD(B19),ISODD(T19)), B19, "")</f>
        <v/>
      </c>
      <c r="AD19" s="2" t="str">
        <f>IF(AND(ISODD(B19),ISEVEN(T19)), B19, "")</f>
        <v/>
      </c>
      <c r="AE19" s="2" t="str">
        <f>IF(AND(ISEVEN(B19),ISODD(T19)), B19, "")</f>
        <v/>
      </c>
      <c r="AF19" s="2">
        <f>IF(AND(ISEVEN(B19),ISEVEN(T19)), B19, "")</f>
        <v>18</v>
      </c>
      <c r="AG19" s="2" t="str">
        <f>IF(AND(ISODD(C19),ISODD(T19)), C19, "")</f>
        <v/>
      </c>
      <c r="AH19" s="2" t="str">
        <f>IF(AND(ISODD(C19),ISEVEN(T19)), C19, "")</f>
        <v/>
      </c>
      <c r="AI19" s="2" t="str">
        <f>IF(AND(ISEVEN(C19),ISODD(T19)), C19, "")</f>
        <v/>
      </c>
      <c r="AJ19" s="2">
        <f>IF(AND(ISEVEN(C19),ISEVEN(T19)), C19, "")</f>
        <v>110</v>
      </c>
      <c r="AK19" s="2" t="str">
        <f>IF(U19,B19, "")</f>
        <v/>
      </c>
      <c r="AL19" s="2">
        <f>IF(V19, B19, "")</f>
        <v>18</v>
      </c>
      <c r="AM19" s="2" t="str">
        <f>IF(U19, C19, "")</f>
        <v/>
      </c>
      <c r="AN19" s="2">
        <f>IF(V19, C19, "")</f>
        <v>110</v>
      </c>
    </row>
    <row r="20" spans="2:40" hidden="1" outlineLevel="1" x14ac:dyDescent="0.25">
      <c r="B20" s="2">
        <v>19</v>
      </c>
      <c r="C20" s="2">
        <v>98</v>
      </c>
      <c r="E20" s="2" t="b">
        <f>ISODD(B20)</f>
        <v>1</v>
      </c>
      <c r="F20" s="2" t="b">
        <f>ISEVEN(B20)</f>
        <v>0</v>
      </c>
      <c r="G20" s="2" t="b">
        <f>ISODD(C20)</f>
        <v>0</v>
      </c>
      <c r="H20" s="2" t="b">
        <f>ISEVEN(C20)</f>
        <v>1</v>
      </c>
      <c r="I20" s="2">
        <f>IF(E20, B20, "")</f>
        <v>19</v>
      </c>
      <c r="J20" s="2" t="str">
        <f>IF(F20, B20, "")</f>
        <v/>
      </c>
      <c r="K20" s="2" t="str">
        <f>IF(G20, C20, "")</f>
        <v/>
      </c>
      <c r="L20" s="2">
        <f>IF(H20, C20, "")</f>
        <v>98</v>
      </c>
      <c r="M20" s="2" t="b">
        <f>OR(AND(E20, G20), AND(F20, H20))</f>
        <v>0</v>
      </c>
      <c r="N20" s="2" t="b">
        <f>OR(AND(E20, H20), AND(F20, G20))</f>
        <v>1</v>
      </c>
      <c r="O20" s="2" t="b">
        <f>AND(E20, G20)</f>
        <v>0</v>
      </c>
      <c r="P20" s="2" t="b">
        <f>AND(F20, G20)</f>
        <v>0</v>
      </c>
      <c r="Q20" s="2" t="b">
        <f>AND(F20, H20)</f>
        <v>0</v>
      </c>
      <c r="R20" s="2" t="b">
        <f>AND(E20, H20)</f>
        <v>1</v>
      </c>
      <c r="T20" s="2">
        <f>SUM(B20, C20)</f>
        <v>117</v>
      </c>
      <c r="U20" s="2" t="b">
        <f t="shared" si="0"/>
        <v>1</v>
      </c>
      <c r="V20" s="2" t="b">
        <f t="shared" si="1"/>
        <v>0</v>
      </c>
      <c r="W20" s="2">
        <f t="shared" si="2"/>
        <v>117</v>
      </c>
      <c r="X20" s="2" t="str">
        <f t="shared" si="3"/>
        <v/>
      </c>
      <c r="Y20" s="2" t="b">
        <f>AND(ISODD(B20),ISODD(T20))</f>
        <v>1</v>
      </c>
      <c r="Z20" s="2" t="b">
        <f>AND(ISODD(B20),ISEVEN(T20))</f>
        <v>0</v>
      </c>
      <c r="AA20" s="2" t="b">
        <f>AND(ISEVEN(B20),ISODD(T20))</f>
        <v>0</v>
      </c>
      <c r="AB20" s="2" t="b">
        <f>AND(ISEVEN(B20),ISEVEN(T20))</f>
        <v>0</v>
      </c>
      <c r="AC20" s="2">
        <f>IF(AND(ISODD(B20),ISODD(T20)), B20, "")</f>
        <v>19</v>
      </c>
      <c r="AD20" s="2" t="str">
        <f>IF(AND(ISODD(B20),ISEVEN(T20)), B20, "")</f>
        <v/>
      </c>
      <c r="AE20" s="2" t="str">
        <f>IF(AND(ISEVEN(B20),ISODD(T20)), B20, "")</f>
        <v/>
      </c>
      <c r="AF20" s="2" t="str">
        <f>IF(AND(ISEVEN(B20),ISEVEN(T20)), B20, "")</f>
        <v/>
      </c>
      <c r="AG20" s="2" t="str">
        <f>IF(AND(ISODD(C20),ISODD(T20)), C20, "")</f>
        <v/>
      </c>
      <c r="AH20" s="2" t="str">
        <f>IF(AND(ISODD(C20),ISEVEN(T20)), C20, "")</f>
        <v/>
      </c>
      <c r="AI20" s="2">
        <f>IF(AND(ISEVEN(C20),ISODD(T20)), C20, "")</f>
        <v>98</v>
      </c>
      <c r="AJ20" s="2" t="str">
        <f>IF(AND(ISEVEN(C20),ISEVEN(T20)), C20, "")</f>
        <v/>
      </c>
      <c r="AK20" s="2">
        <f>IF(U20,B20, "")</f>
        <v>19</v>
      </c>
      <c r="AL20" s="2" t="str">
        <f>IF(V20, B20, "")</f>
        <v/>
      </c>
      <c r="AM20" s="2">
        <f>IF(U20, C20, "")</f>
        <v>98</v>
      </c>
      <c r="AN20" s="2" t="str">
        <f>IF(V20, C20, "")</f>
        <v/>
      </c>
    </row>
    <row r="21" spans="2:40" hidden="1" outlineLevel="1" x14ac:dyDescent="0.25">
      <c r="B21" s="2">
        <v>20</v>
      </c>
      <c r="C21" s="2">
        <v>135</v>
      </c>
      <c r="E21" s="2" t="b">
        <f>ISODD(B21)</f>
        <v>0</v>
      </c>
      <c r="F21" s="2" t="b">
        <f>ISEVEN(B21)</f>
        <v>1</v>
      </c>
      <c r="G21" s="2" t="b">
        <f>ISODD(C21)</f>
        <v>1</v>
      </c>
      <c r="H21" s="2" t="b">
        <f>ISEVEN(C21)</f>
        <v>0</v>
      </c>
      <c r="I21" s="2" t="str">
        <f>IF(E21, B21, "")</f>
        <v/>
      </c>
      <c r="J21" s="2">
        <f>IF(F21, B21, "")</f>
        <v>20</v>
      </c>
      <c r="K21" s="2">
        <f>IF(G21, C21, "")</f>
        <v>135</v>
      </c>
      <c r="L21" s="2" t="str">
        <f>IF(H21, C21, "")</f>
        <v/>
      </c>
      <c r="M21" s="2" t="b">
        <f>OR(AND(E21, G21), AND(F21, H21))</f>
        <v>0</v>
      </c>
      <c r="N21" s="2" t="b">
        <f>OR(AND(E21, H21), AND(F21, G21))</f>
        <v>1</v>
      </c>
      <c r="O21" s="2" t="b">
        <f>AND(E21, G21)</f>
        <v>0</v>
      </c>
      <c r="P21" s="2" t="b">
        <f>AND(F21, G21)</f>
        <v>1</v>
      </c>
      <c r="Q21" s="2" t="b">
        <f>AND(F21, H21)</f>
        <v>0</v>
      </c>
      <c r="R21" s="2" t="b">
        <f>AND(E21, H21)</f>
        <v>0</v>
      </c>
      <c r="T21" s="2">
        <f>SUM(B21, C21)</f>
        <v>155</v>
      </c>
      <c r="U21" s="2" t="b">
        <f t="shared" si="0"/>
        <v>1</v>
      </c>
      <c r="V21" s="2" t="b">
        <f t="shared" si="1"/>
        <v>0</v>
      </c>
      <c r="W21" s="2">
        <f t="shared" si="2"/>
        <v>155</v>
      </c>
      <c r="X21" s="2" t="str">
        <f t="shared" si="3"/>
        <v/>
      </c>
      <c r="Y21" s="2" t="b">
        <f>AND(ISODD(B21),ISODD(T21))</f>
        <v>0</v>
      </c>
      <c r="Z21" s="2" t="b">
        <f>AND(ISODD(B21),ISEVEN(T21))</f>
        <v>0</v>
      </c>
      <c r="AA21" s="2" t="b">
        <f>AND(ISEVEN(B21),ISODD(T21))</f>
        <v>1</v>
      </c>
      <c r="AB21" s="2" t="b">
        <f>AND(ISEVEN(B21),ISEVEN(T21))</f>
        <v>0</v>
      </c>
      <c r="AC21" s="2" t="str">
        <f>IF(AND(ISODD(B21),ISODD(T21)), B21, "")</f>
        <v/>
      </c>
      <c r="AD21" s="2" t="str">
        <f>IF(AND(ISODD(B21),ISEVEN(T21)), B21, "")</f>
        <v/>
      </c>
      <c r="AE21" s="2">
        <f>IF(AND(ISEVEN(B21),ISODD(T21)), B21, "")</f>
        <v>20</v>
      </c>
      <c r="AF21" s="2" t="str">
        <f>IF(AND(ISEVEN(B21),ISEVEN(T21)), B21, "")</f>
        <v/>
      </c>
      <c r="AG21" s="2">
        <f>IF(AND(ISODD(C21),ISODD(T21)), C21, "")</f>
        <v>135</v>
      </c>
      <c r="AH21" s="2" t="str">
        <f>IF(AND(ISODD(C21),ISEVEN(T21)), C21, "")</f>
        <v/>
      </c>
      <c r="AI21" s="2" t="str">
        <f>IF(AND(ISEVEN(C21),ISODD(T21)), C21, "")</f>
        <v/>
      </c>
      <c r="AJ21" s="2" t="str">
        <f>IF(AND(ISEVEN(C21),ISEVEN(T21)), C21, "")</f>
        <v/>
      </c>
      <c r="AK21" s="2">
        <f>IF(U21,B21, "")</f>
        <v>20</v>
      </c>
      <c r="AL21" s="2" t="str">
        <f>IF(V21, B21, "")</f>
        <v/>
      </c>
      <c r="AM21" s="2">
        <f>IF(U21, C21, "")</f>
        <v>135</v>
      </c>
      <c r="AN21" s="2" t="str">
        <f>IF(V21, C21, "")</f>
        <v/>
      </c>
    </row>
    <row r="22" spans="2:40" hidden="1" outlineLevel="1" x14ac:dyDescent="0.25">
      <c r="B22" s="2">
        <v>21</v>
      </c>
      <c r="C22" s="2">
        <v>112</v>
      </c>
      <c r="E22" s="2" t="b">
        <f>ISODD(B22)</f>
        <v>1</v>
      </c>
      <c r="F22" s="2" t="b">
        <f>ISEVEN(B22)</f>
        <v>0</v>
      </c>
      <c r="G22" s="2" t="b">
        <f>ISODD(C22)</f>
        <v>0</v>
      </c>
      <c r="H22" s="2" t="b">
        <f>ISEVEN(C22)</f>
        <v>1</v>
      </c>
      <c r="I22" s="2">
        <f>IF(E22, B22, "")</f>
        <v>21</v>
      </c>
      <c r="J22" s="2" t="str">
        <f>IF(F22, B22, "")</f>
        <v/>
      </c>
      <c r="K22" s="2" t="str">
        <f>IF(G22, C22, "")</f>
        <v/>
      </c>
      <c r="L22" s="2">
        <f>IF(H22, C22, "")</f>
        <v>112</v>
      </c>
      <c r="M22" s="2" t="b">
        <f>OR(AND(E22, G22), AND(F22, H22))</f>
        <v>0</v>
      </c>
      <c r="N22" s="2" t="b">
        <f>OR(AND(E22, H22), AND(F22, G22))</f>
        <v>1</v>
      </c>
      <c r="O22" s="2" t="b">
        <f>AND(E22, G22)</f>
        <v>0</v>
      </c>
      <c r="P22" s="2" t="b">
        <f>AND(F22, G22)</f>
        <v>0</v>
      </c>
      <c r="Q22" s="2" t="b">
        <f>AND(F22, H22)</f>
        <v>0</v>
      </c>
      <c r="R22" s="2" t="b">
        <f>AND(E22, H22)</f>
        <v>1</v>
      </c>
      <c r="T22" s="2">
        <f>SUM(B22, C22)</f>
        <v>133</v>
      </c>
      <c r="U22" s="2" t="b">
        <f t="shared" si="0"/>
        <v>1</v>
      </c>
      <c r="V22" s="2" t="b">
        <f t="shared" si="1"/>
        <v>0</v>
      </c>
      <c r="W22" s="2">
        <f t="shared" si="2"/>
        <v>133</v>
      </c>
      <c r="X22" s="2" t="str">
        <f t="shared" si="3"/>
        <v/>
      </c>
      <c r="Y22" s="2" t="b">
        <f>AND(ISODD(B22),ISODD(T22))</f>
        <v>1</v>
      </c>
      <c r="Z22" s="2" t="b">
        <f>AND(ISODD(B22),ISEVEN(T22))</f>
        <v>0</v>
      </c>
      <c r="AA22" s="2" t="b">
        <f>AND(ISEVEN(B22),ISODD(T22))</f>
        <v>0</v>
      </c>
      <c r="AB22" s="2" t="b">
        <f>AND(ISEVEN(B22),ISEVEN(T22))</f>
        <v>0</v>
      </c>
      <c r="AC22" s="2">
        <f>IF(AND(ISODD(B22),ISODD(T22)), B22, "")</f>
        <v>21</v>
      </c>
      <c r="AD22" s="2" t="str">
        <f>IF(AND(ISODD(B22),ISEVEN(T22)), B22, "")</f>
        <v/>
      </c>
      <c r="AE22" s="2" t="str">
        <f>IF(AND(ISEVEN(B22),ISODD(T22)), B22, "")</f>
        <v/>
      </c>
      <c r="AF22" s="2" t="str">
        <f>IF(AND(ISEVEN(B22),ISEVEN(T22)), B22, "")</f>
        <v/>
      </c>
      <c r="AG22" s="2" t="str">
        <f>IF(AND(ISODD(C22),ISODD(T22)), C22, "")</f>
        <v/>
      </c>
      <c r="AH22" s="2" t="str">
        <f>IF(AND(ISODD(C22),ISEVEN(T22)), C22, "")</f>
        <v/>
      </c>
      <c r="AI22" s="2">
        <f>IF(AND(ISEVEN(C22),ISODD(T22)), C22, "")</f>
        <v>112</v>
      </c>
      <c r="AJ22" s="2" t="str">
        <f>IF(AND(ISEVEN(C22),ISEVEN(T22)), C22, "")</f>
        <v/>
      </c>
      <c r="AK22" s="2">
        <f>IF(U22,B22, "")</f>
        <v>21</v>
      </c>
      <c r="AL22" s="2" t="str">
        <f>IF(V22, B22, "")</f>
        <v/>
      </c>
      <c r="AM22" s="2">
        <f>IF(U22, C22, "")</f>
        <v>112</v>
      </c>
      <c r="AN22" s="2" t="str">
        <f>IF(V22, C22, "")</f>
        <v/>
      </c>
    </row>
    <row r="23" spans="2:40" hidden="1" outlineLevel="1" x14ac:dyDescent="0.25">
      <c r="B23" s="2">
        <v>22</v>
      </c>
      <c r="C23" s="2">
        <v>78</v>
      </c>
      <c r="E23" s="2" t="b">
        <f>ISODD(B23)</f>
        <v>0</v>
      </c>
      <c r="F23" s="2" t="b">
        <f>ISEVEN(B23)</f>
        <v>1</v>
      </c>
      <c r="G23" s="2" t="b">
        <f>ISODD(C23)</f>
        <v>0</v>
      </c>
      <c r="H23" s="2" t="b">
        <f>ISEVEN(C23)</f>
        <v>1</v>
      </c>
      <c r="I23" s="2" t="str">
        <f>IF(E23, B23, "")</f>
        <v/>
      </c>
      <c r="J23" s="2">
        <f>IF(F23, B23, "")</f>
        <v>22</v>
      </c>
      <c r="K23" s="2" t="str">
        <f>IF(G23, C23, "")</f>
        <v/>
      </c>
      <c r="L23" s="2">
        <f>IF(H23, C23, "")</f>
        <v>78</v>
      </c>
      <c r="M23" s="2" t="b">
        <f>OR(AND(E23, G23), AND(F23, H23))</f>
        <v>1</v>
      </c>
      <c r="N23" s="2" t="b">
        <f>OR(AND(E23, H23), AND(F23, G23))</f>
        <v>0</v>
      </c>
      <c r="O23" s="2" t="b">
        <f>AND(E23, G23)</f>
        <v>0</v>
      </c>
      <c r="P23" s="2" t="b">
        <f>AND(F23, G23)</f>
        <v>0</v>
      </c>
      <c r="Q23" s="2" t="b">
        <f>AND(F23, H23)</f>
        <v>1</v>
      </c>
      <c r="R23" s="2" t="b">
        <f>AND(E23, H23)</f>
        <v>0</v>
      </c>
      <c r="T23" s="2">
        <f>SUM(B23, C23)</f>
        <v>100</v>
      </c>
      <c r="U23" s="2" t="b">
        <f t="shared" si="0"/>
        <v>0</v>
      </c>
      <c r="V23" s="2" t="b">
        <f t="shared" si="1"/>
        <v>1</v>
      </c>
      <c r="W23" s="2" t="str">
        <f t="shared" si="2"/>
        <v/>
      </c>
      <c r="X23" s="2">
        <f t="shared" si="3"/>
        <v>100</v>
      </c>
      <c r="Y23" s="2" t="b">
        <f>AND(ISODD(B23),ISODD(T23))</f>
        <v>0</v>
      </c>
      <c r="Z23" s="2" t="b">
        <f>AND(ISODD(B23),ISEVEN(T23))</f>
        <v>0</v>
      </c>
      <c r="AA23" s="2" t="b">
        <f>AND(ISEVEN(B23),ISODD(T23))</f>
        <v>0</v>
      </c>
      <c r="AB23" s="2" t="b">
        <f>AND(ISEVEN(B23),ISEVEN(T23))</f>
        <v>1</v>
      </c>
      <c r="AC23" s="2" t="str">
        <f>IF(AND(ISODD(B23),ISODD(T23)), B23, "")</f>
        <v/>
      </c>
      <c r="AD23" s="2" t="str">
        <f>IF(AND(ISODD(B23),ISEVEN(T23)), B23, "")</f>
        <v/>
      </c>
      <c r="AE23" s="2" t="str">
        <f>IF(AND(ISEVEN(B23),ISODD(T23)), B23, "")</f>
        <v/>
      </c>
      <c r="AF23" s="2">
        <f>IF(AND(ISEVEN(B23),ISEVEN(T23)), B23, "")</f>
        <v>22</v>
      </c>
      <c r="AG23" s="2" t="str">
        <f>IF(AND(ISODD(C23),ISODD(T23)), C23, "")</f>
        <v/>
      </c>
      <c r="AH23" s="2" t="str">
        <f>IF(AND(ISODD(C23),ISEVEN(T23)), C23, "")</f>
        <v/>
      </c>
      <c r="AI23" s="2" t="str">
        <f>IF(AND(ISEVEN(C23),ISODD(T23)), C23, "")</f>
        <v/>
      </c>
      <c r="AJ23" s="2">
        <f>IF(AND(ISEVEN(C23),ISEVEN(T23)), C23, "")</f>
        <v>78</v>
      </c>
      <c r="AK23" s="2" t="str">
        <f>IF(U23,B23, "")</f>
        <v/>
      </c>
      <c r="AL23" s="2">
        <f>IF(V23, B23, "")</f>
        <v>22</v>
      </c>
      <c r="AM23" s="2" t="str">
        <f>IF(U23, C23, "")</f>
        <v/>
      </c>
      <c r="AN23" s="2">
        <f>IF(V23, C23, "")</f>
        <v>78</v>
      </c>
    </row>
    <row r="24" spans="2:40" hidden="1" outlineLevel="1" x14ac:dyDescent="0.25">
      <c r="B24" s="2">
        <v>23</v>
      </c>
      <c r="C24" s="2">
        <v>118</v>
      </c>
      <c r="E24" s="2" t="b">
        <f>ISODD(B24)</f>
        <v>1</v>
      </c>
      <c r="F24" s="2" t="b">
        <f>ISEVEN(B24)</f>
        <v>0</v>
      </c>
      <c r="G24" s="2" t="b">
        <f>ISODD(C24)</f>
        <v>0</v>
      </c>
      <c r="H24" s="2" t="b">
        <f>ISEVEN(C24)</f>
        <v>1</v>
      </c>
      <c r="I24" s="2">
        <f>IF(E24, B24, "")</f>
        <v>23</v>
      </c>
      <c r="J24" s="2" t="str">
        <f>IF(F24, B24, "")</f>
        <v/>
      </c>
      <c r="K24" s="2" t="str">
        <f>IF(G24, C24, "")</f>
        <v/>
      </c>
      <c r="L24" s="2">
        <f>IF(H24, C24, "")</f>
        <v>118</v>
      </c>
      <c r="M24" s="2" t="b">
        <f>OR(AND(E24, G24), AND(F24, H24))</f>
        <v>0</v>
      </c>
      <c r="N24" s="2" t="b">
        <f>OR(AND(E24, H24), AND(F24, G24))</f>
        <v>1</v>
      </c>
      <c r="O24" s="2" t="b">
        <f>AND(E24, G24)</f>
        <v>0</v>
      </c>
      <c r="P24" s="2" t="b">
        <f>AND(F24, G24)</f>
        <v>0</v>
      </c>
      <c r="Q24" s="2" t="b">
        <f>AND(F24, H24)</f>
        <v>0</v>
      </c>
      <c r="R24" s="2" t="b">
        <f>AND(E24, H24)</f>
        <v>1</v>
      </c>
      <c r="T24" s="2">
        <f>SUM(B24, C24)</f>
        <v>141</v>
      </c>
      <c r="U24" s="2" t="b">
        <f t="shared" si="0"/>
        <v>1</v>
      </c>
      <c r="V24" s="2" t="b">
        <f t="shared" si="1"/>
        <v>0</v>
      </c>
      <c r="W24" s="2">
        <f t="shared" si="2"/>
        <v>141</v>
      </c>
      <c r="X24" s="2" t="str">
        <f t="shared" si="3"/>
        <v/>
      </c>
      <c r="Y24" s="2" t="b">
        <f>AND(ISODD(B24),ISODD(T24))</f>
        <v>1</v>
      </c>
      <c r="Z24" s="2" t="b">
        <f>AND(ISODD(B24),ISEVEN(T24))</f>
        <v>0</v>
      </c>
      <c r="AA24" s="2" t="b">
        <f>AND(ISEVEN(B24),ISODD(T24))</f>
        <v>0</v>
      </c>
      <c r="AB24" s="2" t="b">
        <f>AND(ISEVEN(B24),ISEVEN(T24))</f>
        <v>0</v>
      </c>
      <c r="AC24" s="2">
        <f>IF(AND(ISODD(B24),ISODD(T24)), B24, "")</f>
        <v>23</v>
      </c>
      <c r="AD24" s="2" t="str">
        <f>IF(AND(ISODD(B24),ISEVEN(T24)), B24, "")</f>
        <v/>
      </c>
      <c r="AE24" s="2" t="str">
        <f>IF(AND(ISEVEN(B24),ISODD(T24)), B24, "")</f>
        <v/>
      </c>
      <c r="AF24" s="2" t="str">
        <f>IF(AND(ISEVEN(B24),ISEVEN(T24)), B24, "")</f>
        <v/>
      </c>
      <c r="AG24" s="2" t="str">
        <f>IF(AND(ISODD(C24),ISODD(T24)), C24, "")</f>
        <v/>
      </c>
      <c r="AH24" s="2" t="str">
        <f>IF(AND(ISODD(C24),ISEVEN(T24)), C24, "")</f>
        <v/>
      </c>
      <c r="AI24" s="2">
        <f>IF(AND(ISEVEN(C24),ISODD(T24)), C24, "")</f>
        <v>118</v>
      </c>
      <c r="AJ24" s="2" t="str">
        <f>IF(AND(ISEVEN(C24),ISEVEN(T24)), C24, "")</f>
        <v/>
      </c>
      <c r="AK24" s="2">
        <f>IF(U24,B24, "")</f>
        <v>23</v>
      </c>
      <c r="AL24" s="2" t="str">
        <f>IF(V24, B24, "")</f>
        <v/>
      </c>
      <c r="AM24" s="2">
        <f>IF(U24, C24, "")</f>
        <v>118</v>
      </c>
      <c r="AN24" s="2" t="str">
        <f>IF(V24, C24, "")</f>
        <v/>
      </c>
    </row>
    <row r="25" spans="2:40" hidden="1" outlineLevel="1" x14ac:dyDescent="0.25">
      <c r="B25" s="2">
        <v>24</v>
      </c>
      <c r="C25" s="2">
        <v>64</v>
      </c>
      <c r="E25" s="2" t="b">
        <f>ISODD(B25)</f>
        <v>0</v>
      </c>
      <c r="F25" s="2" t="b">
        <f>ISEVEN(B25)</f>
        <v>1</v>
      </c>
      <c r="G25" s="2" t="b">
        <f>ISODD(C25)</f>
        <v>0</v>
      </c>
      <c r="H25" s="2" t="b">
        <f>ISEVEN(C25)</f>
        <v>1</v>
      </c>
      <c r="I25" s="2" t="str">
        <f>IF(E25, B25, "")</f>
        <v/>
      </c>
      <c r="J25" s="2">
        <f>IF(F25, B25, "")</f>
        <v>24</v>
      </c>
      <c r="K25" s="2" t="str">
        <f>IF(G25, C25, "")</f>
        <v/>
      </c>
      <c r="L25" s="2">
        <f>IF(H25, C25, "")</f>
        <v>64</v>
      </c>
      <c r="M25" s="2" t="b">
        <f>OR(AND(E25, G25), AND(F25, H25))</f>
        <v>1</v>
      </c>
      <c r="N25" s="2" t="b">
        <f>OR(AND(E25, H25), AND(F25, G25))</f>
        <v>0</v>
      </c>
      <c r="O25" s="2" t="b">
        <f>AND(E25, G25)</f>
        <v>0</v>
      </c>
      <c r="P25" s="2" t="b">
        <f>AND(F25, G25)</f>
        <v>0</v>
      </c>
      <c r="Q25" s="2" t="b">
        <f>AND(F25, H25)</f>
        <v>1</v>
      </c>
      <c r="R25" s="2" t="b">
        <f>AND(E25, H25)</f>
        <v>0</v>
      </c>
      <c r="T25" s="2">
        <f>SUM(B25, C25)</f>
        <v>88</v>
      </c>
      <c r="U25" s="2" t="b">
        <f t="shared" si="0"/>
        <v>0</v>
      </c>
      <c r="V25" s="2" t="b">
        <f t="shared" si="1"/>
        <v>1</v>
      </c>
      <c r="W25" s="2" t="str">
        <f t="shared" si="2"/>
        <v/>
      </c>
      <c r="X25" s="2">
        <f t="shared" si="3"/>
        <v>88</v>
      </c>
      <c r="Y25" s="2" t="b">
        <f>AND(ISODD(B25),ISODD(T25))</f>
        <v>0</v>
      </c>
      <c r="Z25" s="2" t="b">
        <f>AND(ISODD(B25),ISEVEN(T25))</f>
        <v>0</v>
      </c>
      <c r="AA25" s="2" t="b">
        <f>AND(ISEVEN(B25),ISODD(T25))</f>
        <v>0</v>
      </c>
      <c r="AB25" s="2" t="b">
        <f>AND(ISEVEN(B25),ISEVEN(T25))</f>
        <v>1</v>
      </c>
      <c r="AC25" s="2" t="str">
        <f>IF(AND(ISODD(B25),ISODD(T25)), B25, "")</f>
        <v/>
      </c>
      <c r="AD25" s="2" t="str">
        <f>IF(AND(ISODD(B25),ISEVEN(T25)), B25, "")</f>
        <v/>
      </c>
      <c r="AE25" s="2" t="str">
        <f>IF(AND(ISEVEN(B25),ISODD(T25)), B25, "")</f>
        <v/>
      </c>
      <c r="AF25" s="2">
        <f>IF(AND(ISEVEN(B25),ISEVEN(T25)), B25, "")</f>
        <v>24</v>
      </c>
      <c r="AG25" s="2" t="str">
        <f>IF(AND(ISODD(C25),ISODD(T25)), C25, "")</f>
        <v/>
      </c>
      <c r="AH25" s="2" t="str">
        <f>IF(AND(ISODD(C25),ISEVEN(T25)), C25, "")</f>
        <v/>
      </c>
      <c r="AI25" s="2" t="str">
        <f>IF(AND(ISEVEN(C25),ISODD(T25)), C25, "")</f>
        <v/>
      </c>
      <c r="AJ25" s="2">
        <f>IF(AND(ISEVEN(C25),ISEVEN(T25)), C25, "")</f>
        <v>64</v>
      </c>
      <c r="AK25" s="2" t="str">
        <f>IF(U25,B25, "")</f>
        <v/>
      </c>
      <c r="AL25" s="2">
        <f>IF(V25, B25, "")</f>
        <v>24</v>
      </c>
      <c r="AM25" s="2" t="str">
        <f>IF(U25, C25, "")</f>
        <v/>
      </c>
      <c r="AN25" s="2">
        <f>IF(V25, C25, "")</f>
        <v>64</v>
      </c>
    </row>
    <row r="26" spans="2:40" hidden="1" outlineLevel="1" x14ac:dyDescent="0.25">
      <c r="B26" s="2">
        <v>25</v>
      </c>
      <c r="C26" s="2">
        <v>77</v>
      </c>
      <c r="E26" s="2" t="b">
        <f>ISODD(B26)</f>
        <v>1</v>
      </c>
      <c r="F26" s="2" t="b">
        <f>ISEVEN(B26)</f>
        <v>0</v>
      </c>
      <c r="G26" s="2" t="b">
        <f>ISODD(C26)</f>
        <v>1</v>
      </c>
      <c r="H26" s="2" t="b">
        <f>ISEVEN(C26)</f>
        <v>0</v>
      </c>
      <c r="I26" s="2">
        <f>IF(E26, B26, "")</f>
        <v>25</v>
      </c>
      <c r="J26" s="2" t="str">
        <f>IF(F26, B26, "")</f>
        <v/>
      </c>
      <c r="K26" s="2">
        <f>IF(G26, C26, "")</f>
        <v>77</v>
      </c>
      <c r="L26" s="2" t="str">
        <f>IF(H26, C26, "")</f>
        <v/>
      </c>
      <c r="M26" s="2" t="b">
        <f>OR(AND(E26, G26), AND(F26, H26))</f>
        <v>1</v>
      </c>
      <c r="N26" s="2" t="b">
        <f>OR(AND(E26, H26), AND(F26, G26))</f>
        <v>0</v>
      </c>
      <c r="O26" s="2" t="b">
        <f>AND(E26, G26)</f>
        <v>1</v>
      </c>
      <c r="P26" s="2" t="b">
        <f>AND(F26, G26)</f>
        <v>0</v>
      </c>
      <c r="Q26" s="2" t="b">
        <f>AND(F26, H26)</f>
        <v>0</v>
      </c>
      <c r="R26" s="2" t="b">
        <f>AND(E26, H26)</f>
        <v>0</v>
      </c>
      <c r="T26" s="2">
        <f>SUM(B26, C26)</f>
        <v>102</v>
      </c>
      <c r="U26" s="2" t="b">
        <f t="shared" si="0"/>
        <v>0</v>
      </c>
      <c r="V26" s="2" t="b">
        <f t="shared" si="1"/>
        <v>1</v>
      </c>
      <c r="W26" s="2" t="str">
        <f t="shared" si="2"/>
        <v/>
      </c>
      <c r="X26" s="2">
        <f t="shared" si="3"/>
        <v>102</v>
      </c>
      <c r="Y26" s="2" t="b">
        <f>AND(ISODD(B26),ISODD(T26))</f>
        <v>0</v>
      </c>
      <c r="Z26" s="2" t="b">
        <f>AND(ISODD(B26),ISEVEN(T26))</f>
        <v>1</v>
      </c>
      <c r="AA26" s="2" t="b">
        <f>AND(ISEVEN(B26),ISODD(T26))</f>
        <v>0</v>
      </c>
      <c r="AB26" s="2" t="b">
        <f>AND(ISEVEN(B26),ISEVEN(T26))</f>
        <v>0</v>
      </c>
      <c r="AC26" s="2" t="str">
        <f>IF(AND(ISODD(B26),ISODD(T26)), B26, "")</f>
        <v/>
      </c>
      <c r="AD26" s="2">
        <f>IF(AND(ISODD(B26),ISEVEN(T26)), B26, "")</f>
        <v>25</v>
      </c>
      <c r="AE26" s="2" t="str">
        <f>IF(AND(ISEVEN(B26),ISODD(T26)), B26, "")</f>
        <v/>
      </c>
      <c r="AF26" s="2" t="str">
        <f>IF(AND(ISEVEN(B26),ISEVEN(T26)), B26, "")</f>
        <v/>
      </c>
      <c r="AG26" s="2" t="str">
        <f>IF(AND(ISODD(C26),ISODD(T26)), C26, "")</f>
        <v/>
      </c>
      <c r="AH26" s="2">
        <f>IF(AND(ISODD(C26),ISEVEN(T26)), C26, "")</f>
        <v>77</v>
      </c>
      <c r="AI26" s="2" t="str">
        <f>IF(AND(ISEVEN(C26),ISODD(T26)), C26, "")</f>
        <v/>
      </c>
      <c r="AJ26" s="2" t="str">
        <f>IF(AND(ISEVEN(C26),ISEVEN(T26)), C26, "")</f>
        <v/>
      </c>
      <c r="AK26" s="2" t="str">
        <f>IF(U26,B26, "")</f>
        <v/>
      </c>
      <c r="AL26" s="2">
        <f>IF(V26, B26, "")</f>
        <v>25</v>
      </c>
      <c r="AM26" s="2" t="str">
        <f>IF(U26, C26, "")</f>
        <v/>
      </c>
      <c r="AN26" s="2">
        <f>IF(V26, C26, "")</f>
        <v>77</v>
      </c>
    </row>
    <row r="27" spans="2:40" hidden="1" outlineLevel="1" x14ac:dyDescent="0.25">
      <c r="B27" s="2">
        <v>26</v>
      </c>
      <c r="C27" s="2">
        <v>227</v>
      </c>
      <c r="E27" s="2" t="b">
        <f>ISODD(B27)</f>
        <v>0</v>
      </c>
      <c r="F27" s="2" t="b">
        <f>ISEVEN(B27)</f>
        <v>1</v>
      </c>
      <c r="G27" s="2" t="b">
        <f>ISODD(C27)</f>
        <v>1</v>
      </c>
      <c r="H27" s="2" t="b">
        <f>ISEVEN(C27)</f>
        <v>0</v>
      </c>
      <c r="I27" s="2" t="str">
        <f>IF(E27, B27, "")</f>
        <v/>
      </c>
      <c r="J27" s="2">
        <f>IF(F27, B27, "")</f>
        <v>26</v>
      </c>
      <c r="K27" s="2">
        <f>IF(G27, C27, "")</f>
        <v>227</v>
      </c>
      <c r="L27" s="2" t="str">
        <f>IF(H27, C27, "")</f>
        <v/>
      </c>
      <c r="M27" s="2" t="b">
        <f>OR(AND(E27, G27), AND(F27, H27))</f>
        <v>0</v>
      </c>
      <c r="N27" s="2" t="b">
        <f>OR(AND(E27, H27), AND(F27, G27))</f>
        <v>1</v>
      </c>
      <c r="O27" s="2" t="b">
        <f>AND(E27, G27)</f>
        <v>0</v>
      </c>
      <c r="P27" s="2" t="b">
        <f>AND(F27, G27)</f>
        <v>1</v>
      </c>
      <c r="Q27" s="2" t="b">
        <f>AND(F27, H27)</f>
        <v>0</v>
      </c>
      <c r="R27" s="2" t="b">
        <f>AND(E27, H27)</f>
        <v>0</v>
      </c>
      <c r="T27" s="2">
        <f>SUM(B27, C27)</f>
        <v>253</v>
      </c>
      <c r="U27" s="2" t="b">
        <f t="shared" si="0"/>
        <v>1</v>
      </c>
      <c r="V27" s="2" t="b">
        <f t="shared" si="1"/>
        <v>0</v>
      </c>
      <c r="W27" s="2">
        <f t="shared" si="2"/>
        <v>253</v>
      </c>
      <c r="X27" s="2" t="str">
        <f t="shared" si="3"/>
        <v/>
      </c>
      <c r="Y27" s="2" t="b">
        <f>AND(ISODD(B27),ISODD(T27))</f>
        <v>0</v>
      </c>
      <c r="Z27" s="2" t="b">
        <f>AND(ISODD(B27),ISEVEN(T27))</f>
        <v>0</v>
      </c>
      <c r="AA27" s="2" t="b">
        <f>AND(ISEVEN(B27),ISODD(T27))</f>
        <v>1</v>
      </c>
      <c r="AB27" s="2" t="b">
        <f>AND(ISEVEN(B27),ISEVEN(T27))</f>
        <v>0</v>
      </c>
      <c r="AC27" s="2" t="str">
        <f>IF(AND(ISODD(B27),ISODD(T27)), B27, "")</f>
        <v/>
      </c>
      <c r="AD27" s="2" t="str">
        <f>IF(AND(ISODD(B27),ISEVEN(T27)), B27, "")</f>
        <v/>
      </c>
      <c r="AE27" s="2">
        <f>IF(AND(ISEVEN(B27),ISODD(T27)), B27, "")</f>
        <v>26</v>
      </c>
      <c r="AF27" s="2" t="str">
        <f>IF(AND(ISEVEN(B27),ISEVEN(T27)), B27, "")</f>
        <v/>
      </c>
      <c r="AG27" s="2">
        <f>IF(AND(ISODD(C27),ISODD(T27)), C27, "")</f>
        <v>227</v>
      </c>
      <c r="AH27" s="2" t="str">
        <f>IF(AND(ISODD(C27),ISEVEN(T27)), C27, "")</f>
        <v/>
      </c>
      <c r="AI27" s="2" t="str">
        <f>IF(AND(ISEVEN(C27),ISODD(T27)), C27, "")</f>
        <v/>
      </c>
      <c r="AJ27" s="2" t="str">
        <f>IF(AND(ISEVEN(C27),ISEVEN(T27)), C27, "")</f>
        <v/>
      </c>
      <c r="AK27" s="2">
        <f>IF(U27,B27, "")</f>
        <v>26</v>
      </c>
      <c r="AL27" s="2" t="str">
        <f>IF(V27, B27, "")</f>
        <v/>
      </c>
      <c r="AM27" s="2">
        <f>IF(U27, C27, "")</f>
        <v>227</v>
      </c>
      <c r="AN27" s="2" t="str">
        <f>IF(V27, C27, "")</f>
        <v/>
      </c>
    </row>
    <row r="28" spans="2:40" hidden="1" outlineLevel="1" x14ac:dyDescent="0.25">
      <c r="B28" s="2">
        <v>27</v>
      </c>
      <c r="C28" s="2">
        <v>93</v>
      </c>
      <c r="E28" s="2" t="b">
        <f>ISODD(B28)</f>
        <v>1</v>
      </c>
      <c r="F28" s="2" t="b">
        <f>ISEVEN(B28)</f>
        <v>0</v>
      </c>
      <c r="G28" s="2" t="b">
        <f>ISODD(C28)</f>
        <v>1</v>
      </c>
      <c r="H28" s="2" t="b">
        <f>ISEVEN(C28)</f>
        <v>0</v>
      </c>
      <c r="I28" s="2">
        <f>IF(E28, B28, "")</f>
        <v>27</v>
      </c>
      <c r="J28" s="2" t="str">
        <f>IF(F28, B28, "")</f>
        <v/>
      </c>
      <c r="K28" s="2">
        <f>IF(G28, C28, "")</f>
        <v>93</v>
      </c>
      <c r="L28" s="2" t="str">
        <f>IF(H28, C28, "")</f>
        <v/>
      </c>
      <c r="M28" s="2" t="b">
        <f>OR(AND(E28, G28), AND(F28, H28))</f>
        <v>1</v>
      </c>
      <c r="N28" s="2" t="b">
        <f>OR(AND(E28, H28), AND(F28, G28))</f>
        <v>0</v>
      </c>
      <c r="O28" s="2" t="b">
        <f>AND(E28, G28)</f>
        <v>1</v>
      </c>
      <c r="P28" s="2" t="b">
        <f>AND(F28, G28)</f>
        <v>0</v>
      </c>
      <c r="Q28" s="2" t="b">
        <f>AND(F28, H28)</f>
        <v>0</v>
      </c>
      <c r="R28" s="2" t="b">
        <f>AND(E28, H28)</f>
        <v>0</v>
      </c>
      <c r="T28" s="2">
        <f>SUM(B28, C28)</f>
        <v>120</v>
      </c>
      <c r="U28" s="2" t="b">
        <f t="shared" si="0"/>
        <v>0</v>
      </c>
      <c r="V28" s="2" t="b">
        <f t="shared" si="1"/>
        <v>1</v>
      </c>
      <c r="W28" s="2" t="str">
        <f t="shared" si="2"/>
        <v/>
      </c>
      <c r="X28" s="2">
        <f t="shared" si="3"/>
        <v>120</v>
      </c>
      <c r="Y28" s="2" t="b">
        <f>AND(ISODD(B28),ISODD(T28))</f>
        <v>0</v>
      </c>
      <c r="Z28" s="2" t="b">
        <f>AND(ISODD(B28),ISEVEN(T28))</f>
        <v>1</v>
      </c>
      <c r="AA28" s="2" t="b">
        <f>AND(ISEVEN(B28),ISODD(T28))</f>
        <v>0</v>
      </c>
      <c r="AB28" s="2" t="b">
        <f>AND(ISEVEN(B28),ISEVEN(T28))</f>
        <v>0</v>
      </c>
      <c r="AC28" s="2" t="str">
        <f>IF(AND(ISODD(B28),ISODD(T28)), B28, "")</f>
        <v/>
      </c>
      <c r="AD28" s="2">
        <f>IF(AND(ISODD(B28),ISEVEN(T28)), B28, "")</f>
        <v>27</v>
      </c>
      <c r="AE28" s="2" t="str">
        <f>IF(AND(ISEVEN(B28),ISODD(T28)), B28, "")</f>
        <v/>
      </c>
      <c r="AF28" s="2" t="str">
        <f>IF(AND(ISEVEN(B28),ISEVEN(T28)), B28, "")</f>
        <v/>
      </c>
      <c r="AG28" s="2" t="str">
        <f>IF(AND(ISODD(C28),ISODD(T28)), C28, "")</f>
        <v/>
      </c>
      <c r="AH28" s="2">
        <f>IF(AND(ISODD(C28),ISEVEN(T28)), C28, "")</f>
        <v>93</v>
      </c>
      <c r="AI28" s="2" t="str">
        <f>IF(AND(ISEVEN(C28),ISODD(T28)), C28, "")</f>
        <v/>
      </c>
      <c r="AJ28" s="2" t="str">
        <f>IF(AND(ISEVEN(C28),ISEVEN(T28)), C28, "")</f>
        <v/>
      </c>
      <c r="AK28" s="2" t="str">
        <f>IF(U28,B28, "")</f>
        <v/>
      </c>
      <c r="AL28" s="2">
        <f>IF(V28, B28, "")</f>
        <v>27</v>
      </c>
      <c r="AM28" s="2" t="str">
        <f>IF(U28, C28, "")</f>
        <v/>
      </c>
      <c r="AN28" s="2">
        <f>IF(V28, C28, "")</f>
        <v>93</v>
      </c>
    </row>
    <row r="29" spans="2:40" hidden="1" outlineLevel="1" x14ac:dyDescent="0.25">
      <c r="B29" s="2">
        <v>28</v>
      </c>
      <c r="C29" s="2">
        <v>88</v>
      </c>
      <c r="E29" s="2" t="b">
        <f>ISODD(B29)</f>
        <v>0</v>
      </c>
      <c r="F29" s="2" t="b">
        <f>ISEVEN(B29)</f>
        <v>1</v>
      </c>
      <c r="G29" s="2" t="b">
        <f>ISODD(C29)</f>
        <v>0</v>
      </c>
      <c r="H29" s="2" t="b">
        <f>ISEVEN(C29)</f>
        <v>1</v>
      </c>
      <c r="I29" s="2" t="str">
        <f>IF(E29, B29, "")</f>
        <v/>
      </c>
      <c r="J29" s="2">
        <f>IF(F29, B29, "")</f>
        <v>28</v>
      </c>
      <c r="K29" s="2" t="str">
        <f>IF(G29, C29, "")</f>
        <v/>
      </c>
      <c r="L29" s="2">
        <f>IF(H29, C29, "")</f>
        <v>88</v>
      </c>
      <c r="M29" s="2" t="b">
        <f>OR(AND(E29, G29), AND(F29, H29))</f>
        <v>1</v>
      </c>
      <c r="N29" s="2" t="b">
        <f>OR(AND(E29, H29), AND(F29, G29))</f>
        <v>0</v>
      </c>
      <c r="O29" s="2" t="b">
        <f>AND(E29, G29)</f>
        <v>0</v>
      </c>
      <c r="P29" s="2" t="b">
        <f>AND(F29, G29)</f>
        <v>0</v>
      </c>
      <c r="Q29" s="2" t="b">
        <f>AND(F29, H29)</f>
        <v>1</v>
      </c>
      <c r="R29" s="2" t="b">
        <f>AND(E29, H29)</f>
        <v>0</v>
      </c>
      <c r="T29" s="2">
        <f>SUM(B29, C29)</f>
        <v>116</v>
      </c>
      <c r="U29" s="2" t="b">
        <f t="shared" si="0"/>
        <v>0</v>
      </c>
      <c r="V29" s="2" t="b">
        <f t="shared" si="1"/>
        <v>1</v>
      </c>
      <c r="W29" s="2" t="str">
        <f t="shared" si="2"/>
        <v/>
      </c>
      <c r="X29" s="2">
        <f t="shared" si="3"/>
        <v>116</v>
      </c>
      <c r="Y29" s="2" t="b">
        <f>AND(ISODD(B29),ISODD(T29))</f>
        <v>0</v>
      </c>
      <c r="Z29" s="2" t="b">
        <f>AND(ISODD(B29),ISEVEN(T29))</f>
        <v>0</v>
      </c>
      <c r="AA29" s="2" t="b">
        <f>AND(ISEVEN(B29),ISODD(T29))</f>
        <v>0</v>
      </c>
      <c r="AB29" s="2" t="b">
        <f>AND(ISEVEN(B29),ISEVEN(T29))</f>
        <v>1</v>
      </c>
      <c r="AC29" s="2" t="str">
        <f>IF(AND(ISODD(B29),ISODD(T29)), B29, "")</f>
        <v/>
      </c>
      <c r="AD29" s="2" t="str">
        <f>IF(AND(ISODD(B29),ISEVEN(T29)), B29, "")</f>
        <v/>
      </c>
      <c r="AE29" s="2" t="str">
        <f>IF(AND(ISEVEN(B29),ISODD(T29)), B29, "")</f>
        <v/>
      </c>
      <c r="AF29" s="2">
        <f>IF(AND(ISEVEN(B29),ISEVEN(T29)), B29, "")</f>
        <v>28</v>
      </c>
      <c r="AG29" s="2" t="str">
        <f>IF(AND(ISODD(C29),ISODD(T29)), C29, "")</f>
        <v/>
      </c>
      <c r="AH29" s="2" t="str">
        <f>IF(AND(ISODD(C29),ISEVEN(T29)), C29, "")</f>
        <v/>
      </c>
      <c r="AI29" s="2" t="str">
        <f>IF(AND(ISEVEN(C29),ISODD(T29)), C29, "")</f>
        <v/>
      </c>
      <c r="AJ29" s="2">
        <f>IF(AND(ISEVEN(C29),ISEVEN(T29)), C29, "")</f>
        <v>88</v>
      </c>
      <c r="AK29" s="2" t="str">
        <f>IF(U29,B29, "")</f>
        <v/>
      </c>
      <c r="AL29" s="2">
        <f>IF(V29, B29, "")</f>
        <v>28</v>
      </c>
      <c r="AM29" s="2" t="str">
        <f>IF(U29, C29, "")</f>
        <v/>
      </c>
      <c r="AN29" s="2">
        <f>IF(V29, C29, "")</f>
        <v>88</v>
      </c>
    </row>
    <row r="30" spans="2:40" hidden="1" outlineLevel="1" x14ac:dyDescent="0.25">
      <c r="B30" s="2">
        <v>29</v>
      </c>
      <c r="C30" s="2">
        <v>69</v>
      </c>
      <c r="E30" s="2" t="b">
        <f>ISODD(B30)</f>
        <v>1</v>
      </c>
      <c r="F30" s="2" t="b">
        <f>ISEVEN(B30)</f>
        <v>0</v>
      </c>
      <c r="G30" s="2" t="b">
        <f>ISODD(C30)</f>
        <v>1</v>
      </c>
      <c r="H30" s="2" t="b">
        <f>ISEVEN(C30)</f>
        <v>0</v>
      </c>
      <c r="I30" s="2">
        <f>IF(E30, B30, "")</f>
        <v>29</v>
      </c>
      <c r="J30" s="2" t="str">
        <f>IF(F30, B30, "")</f>
        <v/>
      </c>
      <c r="K30" s="2">
        <f>IF(G30, C30, "")</f>
        <v>69</v>
      </c>
      <c r="L30" s="2" t="str">
        <f>IF(H30, C30, "")</f>
        <v/>
      </c>
      <c r="M30" s="2" t="b">
        <f>OR(AND(E30, G30), AND(F30, H30))</f>
        <v>1</v>
      </c>
      <c r="N30" s="2" t="b">
        <f>OR(AND(E30, H30), AND(F30, G30))</f>
        <v>0</v>
      </c>
      <c r="O30" s="2" t="b">
        <f>AND(E30, G30)</f>
        <v>1</v>
      </c>
      <c r="P30" s="2" t="b">
        <f>AND(F30, G30)</f>
        <v>0</v>
      </c>
      <c r="Q30" s="2" t="b">
        <f>AND(F30, H30)</f>
        <v>0</v>
      </c>
      <c r="R30" s="2" t="b">
        <f>AND(E30, H30)</f>
        <v>0</v>
      </c>
      <c r="T30" s="2">
        <f>SUM(B30, C30)</f>
        <v>98</v>
      </c>
      <c r="U30" s="2" t="b">
        <f t="shared" si="0"/>
        <v>0</v>
      </c>
      <c r="V30" s="2" t="b">
        <f t="shared" si="1"/>
        <v>1</v>
      </c>
      <c r="W30" s="2" t="str">
        <f t="shared" si="2"/>
        <v/>
      </c>
      <c r="X30" s="2">
        <f t="shared" si="3"/>
        <v>98</v>
      </c>
      <c r="Y30" s="2" t="b">
        <f>AND(ISODD(B30),ISODD(T30))</f>
        <v>0</v>
      </c>
      <c r="Z30" s="2" t="b">
        <f>AND(ISODD(B30),ISEVEN(T30))</f>
        <v>1</v>
      </c>
      <c r="AA30" s="2" t="b">
        <f>AND(ISEVEN(B30),ISODD(T30))</f>
        <v>0</v>
      </c>
      <c r="AB30" s="2" t="b">
        <f>AND(ISEVEN(B30),ISEVEN(T30))</f>
        <v>0</v>
      </c>
      <c r="AC30" s="2" t="str">
        <f>IF(AND(ISODD(B30),ISODD(T30)), B30, "")</f>
        <v/>
      </c>
      <c r="AD30" s="2">
        <f>IF(AND(ISODD(B30),ISEVEN(T30)), B30, "")</f>
        <v>29</v>
      </c>
      <c r="AE30" s="2" t="str">
        <f>IF(AND(ISEVEN(B30),ISODD(T30)), B30, "")</f>
        <v/>
      </c>
      <c r="AF30" s="2" t="str">
        <f>IF(AND(ISEVEN(B30),ISEVEN(T30)), B30, "")</f>
        <v/>
      </c>
      <c r="AG30" s="2" t="str">
        <f>IF(AND(ISODD(C30),ISODD(T30)), C30, "")</f>
        <v/>
      </c>
      <c r="AH30" s="2">
        <f>IF(AND(ISODD(C30),ISEVEN(T30)), C30, "")</f>
        <v>69</v>
      </c>
      <c r="AI30" s="2" t="str">
        <f>IF(AND(ISEVEN(C30),ISODD(T30)), C30, "")</f>
        <v/>
      </c>
      <c r="AJ30" s="2" t="str">
        <f>IF(AND(ISEVEN(C30),ISEVEN(T30)), C30, "")</f>
        <v/>
      </c>
      <c r="AK30" s="2" t="str">
        <f>IF(U30,B30, "")</f>
        <v/>
      </c>
      <c r="AL30" s="2">
        <f>IF(V30, B30, "")</f>
        <v>29</v>
      </c>
      <c r="AM30" s="2" t="str">
        <f>IF(U30, C30, "")</f>
        <v/>
      </c>
      <c r="AN30" s="2">
        <f>IF(V30, C30, "")</f>
        <v>69</v>
      </c>
    </row>
    <row r="31" spans="2:40" hidden="1" outlineLevel="1" x14ac:dyDescent="0.25">
      <c r="B31" s="2">
        <v>30</v>
      </c>
      <c r="C31" s="2">
        <v>60</v>
      </c>
      <c r="E31" s="2" t="b">
        <f>ISODD(B31)</f>
        <v>0</v>
      </c>
      <c r="F31" s="2" t="b">
        <f>ISEVEN(B31)</f>
        <v>1</v>
      </c>
      <c r="G31" s="2" t="b">
        <f>ISODD(C31)</f>
        <v>0</v>
      </c>
      <c r="H31" s="2" t="b">
        <f>ISEVEN(C31)</f>
        <v>1</v>
      </c>
      <c r="I31" s="2" t="str">
        <f>IF(E31, B31, "")</f>
        <v/>
      </c>
      <c r="J31" s="2">
        <f>IF(F31, B31, "")</f>
        <v>30</v>
      </c>
      <c r="K31" s="2" t="str">
        <f>IF(G31, C31, "")</f>
        <v/>
      </c>
      <c r="L31" s="2">
        <f>IF(H31, C31, "")</f>
        <v>60</v>
      </c>
      <c r="M31" s="2" t="b">
        <f>OR(AND(E31, G31), AND(F31, H31))</f>
        <v>1</v>
      </c>
      <c r="N31" s="2" t="b">
        <f>OR(AND(E31, H31), AND(F31, G31))</f>
        <v>0</v>
      </c>
      <c r="O31" s="2" t="b">
        <f>AND(E31, G31)</f>
        <v>0</v>
      </c>
      <c r="P31" s="2" t="b">
        <f>AND(F31, G31)</f>
        <v>0</v>
      </c>
      <c r="Q31" s="2" t="b">
        <f>AND(F31, H31)</f>
        <v>1</v>
      </c>
      <c r="R31" s="2" t="b">
        <f>AND(E31, H31)</f>
        <v>0</v>
      </c>
      <c r="T31" s="2">
        <f>SUM(B31, C31)</f>
        <v>90</v>
      </c>
      <c r="U31" s="2" t="b">
        <f t="shared" si="0"/>
        <v>0</v>
      </c>
      <c r="V31" s="2" t="b">
        <f t="shared" si="1"/>
        <v>1</v>
      </c>
      <c r="W31" s="2" t="str">
        <f t="shared" si="2"/>
        <v/>
      </c>
      <c r="X31" s="2">
        <f t="shared" si="3"/>
        <v>90</v>
      </c>
      <c r="Y31" s="2" t="b">
        <f>AND(ISODD(B31),ISODD(T31))</f>
        <v>0</v>
      </c>
      <c r="Z31" s="2" t="b">
        <f>AND(ISODD(B31),ISEVEN(T31))</f>
        <v>0</v>
      </c>
      <c r="AA31" s="2" t="b">
        <f>AND(ISEVEN(B31),ISODD(T31))</f>
        <v>0</v>
      </c>
      <c r="AB31" s="2" t="b">
        <f>AND(ISEVEN(B31),ISEVEN(T31))</f>
        <v>1</v>
      </c>
      <c r="AC31" s="2" t="str">
        <f>IF(AND(ISODD(B31),ISODD(T31)), B31, "")</f>
        <v/>
      </c>
      <c r="AD31" s="2" t="str">
        <f>IF(AND(ISODD(B31),ISEVEN(T31)), B31, "")</f>
        <v/>
      </c>
      <c r="AE31" s="2" t="str">
        <f>IF(AND(ISEVEN(B31),ISODD(T31)), B31, "")</f>
        <v/>
      </c>
      <c r="AF31" s="2">
        <f>IF(AND(ISEVEN(B31),ISEVEN(T31)), B31, "")</f>
        <v>30</v>
      </c>
      <c r="AG31" s="2" t="str">
        <f>IF(AND(ISODD(C31),ISODD(T31)), C31, "")</f>
        <v/>
      </c>
      <c r="AH31" s="2" t="str">
        <f>IF(AND(ISODD(C31),ISEVEN(T31)), C31, "")</f>
        <v/>
      </c>
      <c r="AI31" s="2" t="str">
        <f>IF(AND(ISEVEN(C31),ISODD(T31)), C31, "")</f>
        <v/>
      </c>
      <c r="AJ31" s="2">
        <f>IF(AND(ISEVEN(C31),ISEVEN(T31)), C31, "")</f>
        <v>60</v>
      </c>
      <c r="AK31" s="2" t="str">
        <f>IF(U31,B31, "")</f>
        <v/>
      </c>
      <c r="AL31" s="2">
        <f>IF(V31, B31, "")</f>
        <v>30</v>
      </c>
      <c r="AM31" s="2" t="str">
        <f>IF(U31, C31, "")</f>
        <v/>
      </c>
      <c r="AN31" s="2">
        <f>IF(V31, C31, "")</f>
        <v>60</v>
      </c>
    </row>
    <row r="32" spans="2:40" hidden="1" outlineLevel="1" x14ac:dyDescent="0.25">
      <c r="B32" s="2">
        <v>31</v>
      </c>
      <c r="C32" s="2">
        <v>34</v>
      </c>
      <c r="E32" s="2" t="b">
        <f>ISODD(B32)</f>
        <v>1</v>
      </c>
      <c r="F32" s="2" t="b">
        <f>ISEVEN(B32)</f>
        <v>0</v>
      </c>
      <c r="G32" s="2" t="b">
        <f>ISODD(C32)</f>
        <v>0</v>
      </c>
      <c r="H32" s="2" t="b">
        <f>ISEVEN(C32)</f>
        <v>1</v>
      </c>
      <c r="I32" s="2">
        <f>IF(E32, B32, "")</f>
        <v>31</v>
      </c>
      <c r="J32" s="2" t="str">
        <f>IF(F32, B32, "")</f>
        <v/>
      </c>
      <c r="K32" s="2" t="str">
        <f>IF(G32, C32, "")</f>
        <v/>
      </c>
      <c r="L32" s="2">
        <f>IF(H32, C32, "")</f>
        <v>34</v>
      </c>
      <c r="M32" s="2" t="b">
        <f>OR(AND(E32, G32), AND(F32, H32))</f>
        <v>0</v>
      </c>
      <c r="N32" s="2" t="b">
        <f>OR(AND(E32, H32), AND(F32, G32))</f>
        <v>1</v>
      </c>
      <c r="O32" s="2" t="b">
        <f>AND(E32, G32)</f>
        <v>0</v>
      </c>
      <c r="P32" s="2" t="b">
        <f>AND(F32, G32)</f>
        <v>0</v>
      </c>
      <c r="Q32" s="2" t="b">
        <f>AND(F32, H32)</f>
        <v>0</v>
      </c>
      <c r="R32" s="2" t="b">
        <f>AND(E32, H32)</f>
        <v>1</v>
      </c>
      <c r="T32" s="2">
        <f>SUM(B32, C32)</f>
        <v>65</v>
      </c>
      <c r="U32" s="2" t="b">
        <f t="shared" si="0"/>
        <v>1</v>
      </c>
      <c r="V32" s="2" t="b">
        <f t="shared" si="1"/>
        <v>0</v>
      </c>
      <c r="W32" s="2">
        <f t="shared" si="2"/>
        <v>65</v>
      </c>
      <c r="X32" s="2" t="str">
        <f t="shared" si="3"/>
        <v/>
      </c>
      <c r="Y32" s="2" t="b">
        <f>AND(ISODD(B32),ISODD(T32))</f>
        <v>1</v>
      </c>
      <c r="Z32" s="2" t="b">
        <f>AND(ISODD(B32),ISEVEN(T32))</f>
        <v>0</v>
      </c>
      <c r="AA32" s="2" t="b">
        <f>AND(ISEVEN(B32),ISODD(T32))</f>
        <v>0</v>
      </c>
      <c r="AB32" s="2" t="b">
        <f>AND(ISEVEN(B32),ISEVEN(T32))</f>
        <v>0</v>
      </c>
      <c r="AC32" s="2">
        <f>IF(AND(ISODD(B32),ISODD(T32)), B32, "")</f>
        <v>31</v>
      </c>
      <c r="AD32" s="2" t="str">
        <f>IF(AND(ISODD(B32),ISEVEN(T32)), B32, "")</f>
        <v/>
      </c>
      <c r="AE32" s="2" t="str">
        <f>IF(AND(ISEVEN(B32),ISODD(T32)), B32, "")</f>
        <v/>
      </c>
      <c r="AF32" s="2" t="str">
        <f>IF(AND(ISEVEN(B32),ISEVEN(T32)), B32, "")</f>
        <v/>
      </c>
      <c r="AG32" s="2" t="str">
        <f>IF(AND(ISODD(C32),ISODD(T32)), C32, "")</f>
        <v/>
      </c>
      <c r="AH32" s="2" t="str">
        <f>IF(AND(ISODD(C32),ISEVEN(T32)), C32, "")</f>
        <v/>
      </c>
      <c r="AI32" s="2">
        <f>IF(AND(ISEVEN(C32),ISODD(T32)), C32, "")</f>
        <v>34</v>
      </c>
      <c r="AJ32" s="2" t="str">
        <f>IF(AND(ISEVEN(C32),ISEVEN(T32)), C32, "")</f>
        <v/>
      </c>
      <c r="AK32" s="2">
        <f>IF(U32,B32, "")</f>
        <v>31</v>
      </c>
      <c r="AL32" s="2" t="str">
        <f>IF(V32, B32, "")</f>
        <v/>
      </c>
      <c r="AM32" s="2">
        <f>IF(U32, C32, "")</f>
        <v>34</v>
      </c>
      <c r="AN32" s="2" t="str">
        <f>IF(V32, C32, "")</f>
        <v/>
      </c>
    </row>
    <row r="33" spans="2:40" hidden="1" outlineLevel="1" x14ac:dyDescent="0.25">
      <c r="B33" s="2">
        <v>32</v>
      </c>
      <c r="C33" s="2">
        <v>30</v>
      </c>
      <c r="E33" s="2" t="b">
        <f>ISODD(B33)</f>
        <v>0</v>
      </c>
      <c r="F33" s="2" t="b">
        <f>ISEVEN(B33)</f>
        <v>1</v>
      </c>
      <c r="G33" s="2" t="b">
        <f>ISODD(C33)</f>
        <v>0</v>
      </c>
      <c r="H33" s="2" t="b">
        <f>ISEVEN(C33)</f>
        <v>1</v>
      </c>
      <c r="I33" s="2" t="str">
        <f>IF(E33, B33, "")</f>
        <v/>
      </c>
      <c r="J33" s="2">
        <f>IF(F33, B33, "")</f>
        <v>32</v>
      </c>
      <c r="K33" s="2" t="str">
        <f>IF(G33, C33, "")</f>
        <v/>
      </c>
      <c r="L33" s="2">
        <f>IF(H33, C33, "")</f>
        <v>30</v>
      </c>
      <c r="M33" s="2" t="b">
        <f>OR(AND(E33, G33), AND(F33, H33))</f>
        <v>1</v>
      </c>
      <c r="N33" s="2" t="b">
        <f>OR(AND(E33, H33), AND(F33, G33))</f>
        <v>0</v>
      </c>
      <c r="O33" s="2" t="b">
        <f>AND(E33, G33)</f>
        <v>0</v>
      </c>
      <c r="P33" s="2" t="b">
        <f>AND(F33, G33)</f>
        <v>0</v>
      </c>
      <c r="Q33" s="2" t="b">
        <f>AND(F33, H33)</f>
        <v>1</v>
      </c>
      <c r="R33" s="2" t="b">
        <f>AND(E33, H33)</f>
        <v>0</v>
      </c>
      <c r="T33" s="2">
        <f>SUM(B33, C33)</f>
        <v>62</v>
      </c>
      <c r="U33" s="2" t="b">
        <f t="shared" si="0"/>
        <v>0</v>
      </c>
      <c r="V33" s="2" t="b">
        <f t="shared" si="1"/>
        <v>1</v>
      </c>
      <c r="W33" s="2" t="str">
        <f t="shared" si="2"/>
        <v/>
      </c>
      <c r="X33" s="2">
        <f t="shared" si="3"/>
        <v>62</v>
      </c>
      <c r="Y33" s="2" t="b">
        <f>AND(ISODD(B33),ISODD(T33))</f>
        <v>0</v>
      </c>
      <c r="Z33" s="2" t="b">
        <f>AND(ISODD(B33),ISEVEN(T33))</f>
        <v>0</v>
      </c>
      <c r="AA33" s="2" t="b">
        <f>AND(ISEVEN(B33),ISODD(T33))</f>
        <v>0</v>
      </c>
      <c r="AB33" s="2" t="b">
        <f>AND(ISEVEN(B33),ISEVEN(T33))</f>
        <v>1</v>
      </c>
      <c r="AC33" s="2" t="str">
        <f>IF(AND(ISODD(B33),ISODD(T33)), B33, "")</f>
        <v/>
      </c>
      <c r="AD33" s="2" t="str">
        <f>IF(AND(ISODD(B33),ISEVEN(T33)), B33, "")</f>
        <v/>
      </c>
      <c r="AE33" s="2" t="str">
        <f>IF(AND(ISEVEN(B33),ISODD(T33)), B33, "")</f>
        <v/>
      </c>
      <c r="AF33" s="2">
        <f>IF(AND(ISEVEN(B33),ISEVEN(T33)), B33, "")</f>
        <v>32</v>
      </c>
      <c r="AG33" s="2" t="str">
        <f>IF(AND(ISODD(C33),ISODD(T33)), C33, "")</f>
        <v/>
      </c>
      <c r="AH33" s="2" t="str">
        <f>IF(AND(ISODD(C33),ISEVEN(T33)), C33, "")</f>
        <v/>
      </c>
      <c r="AI33" s="2" t="str">
        <f>IF(AND(ISEVEN(C33),ISODD(T33)), C33, "")</f>
        <v/>
      </c>
      <c r="AJ33" s="2">
        <f>IF(AND(ISEVEN(C33),ISEVEN(T33)), C33, "")</f>
        <v>30</v>
      </c>
      <c r="AK33" s="2" t="str">
        <f>IF(U33,B33, "")</f>
        <v/>
      </c>
      <c r="AL33" s="2">
        <f>IF(V33, B33, "")</f>
        <v>32</v>
      </c>
      <c r="AM33" s="2" t="str">
        <f>IF(U33, C33, "")</f>
        <v/>
      </c>
      <c r="AN33" s="2">
        <f>IF(V33, C33, "")</f>
        <v>30</v>
      </c>
    </row>
    <row r="34" spans="2:40" hidden="1" outlineLevel="1" x14ac:dyDescent="0.25">
      <c r="B34" s="2">
        <v>33</v>
      </c>
      <c r="C34" s="2">
        <v>73</v>
      </c>
      <c r="E34" s="2" t="b">
        <f>ISODD(B34)</f>
        <v>1</v>
      </c>
      <c r="F34" s="2" t="b">
        <f>ISEVEN(B34)</f>
        <v>0</v>
      </c>
      <c r="G34" s="2" t="b">
        <f>ISODD(C34)</f>
        <v>1</v>
      </c>
      <c r="H34" s="2" t="b">
        <f>ISEVEN(C34)</f>
        <v>0</v>
      </c>
      <c r="I34" s="2">
        <f>IF(E34, B34, "")</f>
        <v>33</v>
      </c>
      <c r="J34" s="2" t="str">
        <f>IF(F34, B34, "")</f>
        <v/>
      </c>
      <c r="K34" s="2">
        <f>IF(G34, C34, "")</f>
        <v>73</v>
      </c>
      <c r="L34" s="2" t="str">
        <f>IF(H34, C34, "")</f>
        <v/>
      </c>
      <c r="M34" s="2" t="b">
        <f>OR(AND(E34, G34), AND(F34, H34))</f>
        <v>1</v>
      </c>
      <c r="N34" s="2" t="b">
        <f>OR(AND(E34, H34), AND(F34, G34))</f>
        <v>0</v>
      </c>
      <c r="O34" s="2" t="b">
        <f>AND(E34, G34)</f>
        <v>1</v>
      </c>
      <c r="P34" s="2" t="b">
        <f>AND(F34, G34)</f>
        <v>0</v>
      </c>
      <c r="Q34" s="2" t="b">
        <f>AND(F34, H34)</f>
        <v>0</v>
      </c>
      <c r="R34" s="2" t="b">
        <f>AND(E34, H34)</f>
        <v>0</v>
      </c>
      <c r="T34" s="2">
        <f>SUM(B34, C34)</f>
        <v>106</v>
      </c>
      <c r="U34" s="2" t="b">
        <f t="shared" si="0"/>
        <v>0</v>
      </c>
      <c r="V34" s="2" t="b">
        <f t="shared" si="1"/>
        <v>1</v>
      </c>
      <c r="W34" s="2" t="str">
        <f t="shared" si="2"/>
        <v/>
      </c>
      <c r="X34" s="2">
        <f t="shared" si="3"/>
        <v>106</v>
      </c>
      <c r="Y34" s="2" t="b">
        <f>AND(ISODD(B34),ISODD(T34))</f>
        <v>0</v>
      </c>
      <c r="Z34" s="2" t="b">
        <f>AND(ISODD(B34),ISEVEN(T34))</f>
        <v>1</v>
      </c>
      <c r="AA34" s="2" t="b">
        <f>AND(ISEVEN(B34),ISODD(T34))</f>
        <v>0</v>
      </c>
      <c r="AB34" s="2" t="b">
        <f>AND(ISEVEN(B34),ISEVEN(T34))</f>
        <v>0</v>
      </c>
      <c r="AC34" s="2" t="str">
        <f>IF(AND(ISODD(B34),ISODD(T34)), B34, "")</f>
        <v/>
      </c>
      <c r="AD34" s="2">
        <f>IF(AND(ISODD(B34),ISEVEN(T34)), B34, "")</f>
        <v>33</v>
      </c>
      <c r="AE34" s="2" t="str">
        <f>IF(AND(ISEVEN(B34),ISODD(T34)), B34, "")</f>
        <v/>
      </c>
      <c r="AF34" s="2" t="str">
        <f>IF(AND(ISEVEN(B34),ISEVEN(T34)), B34, "")</f>
        <v/>
      </c>
      <c r="AG34" s="2" t="str">
        <f>IF(AND(ISODD(C34),ISODD(T34)), C34, "")</f>
        <v/>
      </c>
      <c r="AH34" s="2">
        <f>IF(AND(ISODD(C34),ISEVEN(T34)), C34, "")</f>
        <v>73</v>
      </c>
      <c r="AI34" s="2" t="str">
        <f>IF(AND(ISEVEN(C34),ISODD(T34)), C34, "")</f>
        <v/>
      </c>
      <c r="AJ34" s="2" t="str">
        <f>IF(AND(ISEVEN(C34),ISEVEN(T34)), C34, "")</f>
        <v/>
      </c>
      <c r="AK34" s="2" t="str">
        <f>IF(U34,B34, "")</f>
        <v/>
      </c>
      <c r="AL34" s="2">
        <f>IF(V34, B34, "")</f>
        <v>33</v>
      </c>
      <c r="AM34" s="2" t="str">
        <f>IF(U34, C34, "")</f>
        <v/>
      </c>
      <c r="AN34" s="2">
        <f>IF(V34, C34, "")</f>
        <v>73</v>
      </c>
    </row>
    <row r="35" spans="2:40" hidden="1" outlineLevel="1" x14ac:dyDescent="0.25">
      <c r="B35" s="2">
        <v>34</v>
      </c>
      <c r="C35" s="2">
        <v>54</v>
      </c>
      <c r="E35" s="2" t="b">
        <f>ISODD(B35)</f>
        <v>0</v>
      </c>
      <c r="F35" s="2" t="b">
        <f>ISEVEN(B35)</f>
        <v>1</v>
      </c>
      <c r="G35" s="2" t="b">
        <f>ISODD(C35)</f>
        <v>0</v>
      </c>
      <c r="H35" s="2" t="b">
        <f>ISEVEN(C35)</f>
        <v>1</v>
      </c>
      <c r="I35" s="2" t="str">
        <f>IF(E35, B35, "")</f>
        <v/>
      </c>
      <c r="J35" s="2">
        <f>IF(F35, B35, "")</f>
        <v>34</v>
      </c>
      <c r="K35" s="2" t="str">
        <f>IF(G35, C35, "")</f>
        <v/>
      </c>
      <c r="L35" s="2">
        <f>IF(H35, C35, "")</f>
        <v>54</v>
      </c>
      <c r="M35" s="2" t="b">
        <f>OR(AND(E35, G35), AND(F35, H35))</f>
        <v>1</v>
      </c>
      <c r="N35" s="2" t="b">
        <f>OR(AND(E35, H35), AND(F35, G35))</f>
        <v>0</v>
      </c>
      <c r="O35" s="2" t="b">
        <f>AND(E35, G35)</f>
        <v>0</v>
      </c>
      <c r="P35" s="2" t="b">
        <f>AND(F35, G35)</f>
        <v>0</v>
      </c>
      <c r="Q35" s="2" t="b">
        <f>AND(F35, H35)</f>
        <v>1</v>
      </c>
      <c r="R35" s="2" t="b">
        <f>AND(E35, H35)</f>
        <v>0</v>
      </c>
      <c r="T35" s="2">
        <f>SUM(B35, C35)</f>
        <v>88</v>
      </c>
      <c r="U35" s="2" t="b">
        <f t="shared" si="0"/>
        <v>0</v>
      </c>
      <c r="V35" s="2" t="b">
        <f t="shared" si="1"/>
        <v>1</v>
      </c>
      <c r="W35" s="2" t="str">
        <f t="shared" si="2"/>
        <v/>
      </c>
      <c r="X35" s="2">
        <f t="shared" si="3"/>
        <v>88</v>
      </c>
      <c r="Y35" s="2" t="b">
        <f>AND(ISODD(B35),ISODD(T35))</f>
        <v>0</v>
      </c>
      <c r="Z35" s="2" t="b">
        <f>AND(ISODD(B35),ISEVEN(T35))</f>
        <v>0</v>
      </c>
      <c r="AA35" s="2" t="b">
        <f>AND(ISEVEN(B35),ISODD(T35))</f>
        <v>0</v>
      </c>
      <c r="AB35" s="2" t="b">
        <f>AND(ISEVEN(B35),ISEVEN(T35))</f>
        <v>1</v>
      </c>
      <c r="AC35" s="2" t="str">
        <f>IF(AND(ISODD(B35),ISODD(T35)), B35, "")</f>
        <v/>
      </c>
      <c r="AD35" s="2" t="str">
        <f>IF(AND(ISODD(B35),ISEVEN(T35)), B35, "")</f>
        <v/>
      </c>
      <c r="AE35" s="2" t="str">
        <f>IF(AND(ISEVEN(B35),ISODD(T35)), B35, "")</f>
        <v/>
      </c>
      <c r="AF35" s="2">
        <f>IF(AND(ISEVEN(B35),ISEVEN(T35)), B35, "")</f>
        <v>34</v>
      </c>
      <c r="AG35" s="2" t="str">
        <f>IF(AND(ISODD(C35),ISODD(T35)), C35, "")</f>
        <v/>
      </c>
      <c r="AH35" s="2" t="str">
        <f>IF(AND(ISODD(C35),ISEVEN(T35)), C35, "")</f>
        <v/>
      </c>
      <c r="AI35" s="2" t="str">
        <f>IF(AND(ISEVEN(C35),ISODD(T35)), C35, "")</f>
        <v/>
      </c>
      <c r="AJ35" s="2">
        <f>IF(AND(ISEVEN(C35),ISEVEN(T35)), C35, "")</f>
        <v>54</v>
      </c>
      <c r="AK35" s="2" t="str">
        <f>IF(U35,B35, "")</f>
        <v/>
      </c>
      <c r="AL35" s="2">
        <f>IF(V35, B35, "")</f>
        <v>34</v>
      </c>
      <c r="AM35" s="2" t="str">
        <f>IF(U35, C35, "")</f>
        <v/>
      </c>
      <c r="AN35" s="2">
        <f>IF(V35, C35, "")</f>
        <v>54</v>
      </c>
    </row>
    <row r="36" spans="2:40" hidden="1" outlineLevel="1" x14ac:dyDescent="0.25">
      <c r="B36" s="2">
        <v>35</v>
      </c>
      <c r="C36" s="2">
        <v>45</v>
      </c>
      <c r="E36" s="2" t="b">
        <f>ISODD(B36)</f>
        <v>1</v>
      </c>
      <c r="F36" s="2" t="b">
        <f>ISEVEN(B36)</f>
        <v>0</v>
      </c>
      <c r="G36" s="2" t="b">
        <f>ISODD(C36)</f>
        <v>1</v>
      </c>
      <c r="H36" s="2" t="b">
        <f>ISEVEN(C36)</f>
        <v>0</v>
      </c>
      <c r="I36" s="2">
        <f>IF(E36, B36, "")</f>
        <v>35</v>
      </c>
      <c r="J36" s="2" t="str">
        <f>IF(F36, B36, "")</f>
        <v/>
      </c>
      <c r="K36" s="2">
        <f>IF(G36, C36, "")</f>
        <v>45</v>
      </c>
      <c r="L36" s="2" t="str">
        <f>IF(H36, C36, "")</f>
        <v/>
      </c>
      <c r="M36" s="2" t="b">
        <f>OR(AND(E36, G36), AND(F36, H36))</f>
        <v>1</v>
      </c>
      <c r="N36" s="2" t="b">
        <f>OR(AND(E36, H36), AND(F36, G36))</f>
        <v>0</v>
      </c>
      <c r="O36" s="2" t="b">
        <f>AND(E36, G36)</f>
        <v>1</v>
      </c>
      <c r="P36" s="2" t="b">
        <f>AND(F36, G36)</f>
        <v>0</v>
      </c>
      <c r="Q36" s="2" t="b">
        <f>AND(F36, H36)</f>
        <v>0</v>
      </c>
      <c r="R36" s="2" t="b">
        <f>AND(E36, H36)</f>
        <v>0</v>
      </c>
      <c r="T36" s="2">
        <f>SUM(B36, C36)</f>
        <v>80</v>
      </c>
      <c r="U36" s="2" t="b">
        <f t="shared" si="0"/>
        <v>0</v>
      </c>
      <c r="V36" s="2" t="b">
        <f t="shared" si="1"/>
        <v>1</v>
      </c>
      <c r="W36" s="2" t="str">
        <f t="shared" si="2"/>
        <v/>
      </c>
      <c r="X36" s="2">
        <f t="shared" si="3"/>
        <v>80</v>
      </c>
      <c r="Y36" s="2" t="b">
        <f>AND(ISODD(B36),ISODD(T36))</f>
        <v>0</v>
      </c>
      <c r="Z36" s="2" t="b">
        <f>AND(ISODD(B36),ISEVEN(T36))</f>
        <v>1</v>
      </c>
      <c r="AA36" s="2" t="b">
        <f>AND(ISEVEN(B36),ISODD(T36))</f>
        <v>0</v>
      </c>
      <c r="AB36" s="2" t="b">
        <f>AND(ISEVEN(B36),ISEVEN(T36))</f>
        <v>0</v>
      </c>
      <c r="AC36" s="2" t="str">
        <f>IF(AND(ISODD(B36),ISODD(T36)), B36, "")</f>
        <v/>
      </c>
      <c r="AD36" s="2">
        <f>IF(AND(ISODD(B36),ISEVEN(T36)), B36, "")</f>
        <v>35</v>
      </c>
      <c r="AE36" s="2" t="str">
        <f>IF(AND(ISEVEN(B36),ISODD(T36)), B36, "")</f>
        <v/>
      </c>
      <c r="AF36" s="2" t="str">
        <f>IF(AND(ISEVEN(B36),ISEVEN(T36)), B36, "")</f>
        <v/>
      </c>
      <c r="AG36" s="2" t="str">
        <f>IF(AND(ISODD(C36),ISODD(T36)), C36, "")</f>
        <v/>
      </c>
      <c r="AH36" s="2">
        <f>IF(AND(ISODD(C36),ISEVEN(T36)), C36, "")</f>
        <v>45</v>
      </c>
      <c r="AI36" s="2" t="str">
        <f>IF(AND(ISEVEN(C36),ISODD(T36)), C36, "")</f>
        <v/>
      </c>
      <c r="AJ36" s="2" t="str">
        <f>IF(AND(ISEVEN(C36),ISEVEN(T36)), C36, "")</f>
        <v/>
      </c>
      <c r="AK36" s="2" t="str">
        <f>IF(U36,B36, "")</f>
        <v/>
      </c>
      <c r="AL36" s="2">
        <f>IF(V36, B36, "")</f>
        <v>35</v>
      </c>
      <c r="AM36" s="2" t="str">
        <f>IF(U36, C36, "")</f>
        <v/>
      </c>
      <c r="AN36" s="2">
        <f>IF(V36, C36, "")</f>
        <v>45</v>
      </c>
    </row>
    <row r="37" spans="2:40" hidden="1" outlineLevel="1" x14ac:dyDescent="0.25">
      <c r="B37" s="2">
        <v>36</v>
      </c>
      <c r="C37" s="2">
        <v>83</v>
      </c>
      <c r="E37" s="2" t="b">
        <f>ISODD(B37)</f>
        <v>0</v>
      </c>
      <c r="F37" s="2" t="b">
        <f>ISEVEN(B37)</f>
        <v>1</v>
      </c>
      <c r="G37" s="2" t="b">
        <f>ISODD(C37)</f>
        <v>1</v>
      </c>
      <c r="H37" s="2" t="b">
        <f>ISEVEN(C37)</f>
        <v>0</v>
      </c>
      <c r="I37" s="2" t="str">
        <f>IF(E37, B37, "")</f>
        <v/>
      </c>
      <c r="J37" s="2">
        <f>IF(F37, B37, "")</f>
        <v>36</v>
      </c>
      <c r="K37" s="2">
        <f>IF(G37, C37, "")</f>
        <v>83</v>
      </c>
      <c r="L37" s="2" t="str">
        <f>IF(H37, C37, "")</f>
        <v/>
      </c>
      <c r="M37" s="2" t="b">
        <f>OR(AND(E37, G37), AND(F37, H37))</f>
        <v>0</v>
      </c>
      <c r="N37" s="2" t="b">
        <f>OR(AND(E37, H37), AND(F37, G37))</f>
        <v>1</v>
      </c>
      <c r="O37" s="2" t="b">
        <f>AND(E37, G37)</f>
        <v>0</v>
      </c>
      <c r="P37" s="2" t="b">
        <f>AND(F37, G37)</f>
        <v>1</v>
      </c>
      <c r="Q37" s="2" t="b">
        <f>AND(F37, H37)</f>
        <v>0</v>
      </c>
      <c r="R37" s="2" t="b">
        <f>AND(E37, H37)</f>
        <v>0</v>
      </c>
      <c r="T37" s="2">
        <f>SUM(B37, C37)</f>
        <v>119</v>
      </c>
      <c r="U37" s="2" t="b">
        <f t="shared" si="0"/>
        <v>1</v>
      </c>
      <c r="V37" s="2" t="b">
        <f t="shared" si="1"/>
        <v>0</v>
      </c>
      <c r="W37" s="2">
        <f t="shared" si="2"/>
        <v>119</v>
      </c>
      <c r="X37" s="2" t="str">
        <f t="shared" si="3"/>
        <v/>
      </c>
      <c r="Y37" s="2" t="b">
        <f>AND(ISODD(B37),ISODD(T37))</f>
        <v>0</v>
      </c>
      <c r="Z37" s="2" t="b">
        <f>AND(ISODD(B37),ISEVEN(T37))</f>
        <v>0</v>
      </c>
      <c r="AA37" s="2" t="b">
        <f>AND(ISEVEN(B37),ISODD(T37))</f>
        <v>1</v>
      </c>
      <c r="AB37" s="2" t="b">
        <f>AND(ISEVEN(B37),ISEVEN(T37))</f>
        <v>0</v>
      </c>
      <c r="AC37" s="2" t="str">
        <f>IF(AND(ISODD(B37),ISODD(T37)), B37, "")</f>
        <v/>
      </c>
      <c r="AD37" s="2" t="str">
        <f>IF(AND(ISODD(B37),ISEVEN(T37)), B37, "")</f>
        <v/>
      </c>
      <c r="AE37" s="2">
        <f>IF(AND(ISEVEN(B37),ISODD(T37)), B37, "")</f>
        <v>36</v>
      </c>
      <c r="AF37" s="2" t="str">
        <f>IF(AND(ISEVEN(B37),ISEVEN(T37)), B37, "")</f>
        <v/>
      </c>
      <c r="AG37" s="2">
        <f>IF(AND(ISODD(C37),ISODD(T37)), C37, "")</f>
        <v>83</v>
      </c>
      <c r="AH37" s="2" t="str">
        <f>IF(AND(ISODD(C37),ISEVEN(T37)), C37, "")</f>
        <v/>
      </c>
      <c r="AI37" s="2" t="str">
        <f>IF(AND(ISEVEN(C37),ISODD(T37)), C37, "")</f>
        <v/>
      </c>
      <c r="AJ37" s="2" t="str">
        <f>IF(AND(ISEVEN(C37),ISEVEN(T37)), C37, "")</f>
        <v/>
      </c>
      <c r="AK37" s="2">
        <f>IF(U37,B37, "")</f>
        <v>36</v>
      </c>
      <c r="AL37" s="2" t="str">
        <f>IF(V37, B37, "")</f>
        <v/>
      </c>
      <c r="AM37" s="2">
        <f>IF(U37, C37, "")</f>
        <v>83</v>
      </c>
      <c r="AN37" s="2" t="str">
        <f>IF(V37, C37, "")</f>
        <v/>
      </c>
    </row>
    <row r="38" spans="2:40" hidden="1" outlineLevel="1" x14ac:dyDescent="0.25">
      <c r="B38" s="2">
        <v>37</v>
      </c>
      <c r="C38" s="2">
        <v>182</v>
      </c>
      <c r="E38" s="2" t="b">
        <f>ISODD(B38)</f>
        <v>1</v>
      </c>
      <c r="F38" s="2" t="b">
        <f>ISEVEN(B38)</f>
        <v>0</v>
      </c>
      <c r="G38" s="2" t="b">
        <f>ISODD(C38)</f>
        <v>0</v>
      </c>
      <c r="H38" s="2" t="b">
        <f>ISEVEN(C38)</f>
        <v>1</v>
      </c>
      <c r="I38" s="2">
        <f>IF(E38, B38, "")</f>
        <v>37</v>
      </c>
      <c r="J38" s="2" t="str">
        <f>IF(F38, B38, "")</f>
        <v/>
      </c>
      <c r="K38" s="2" t="str">
        <f>IF(G38, C38, "")</f>
        <v/>
      </c>
      <c r="L38" s="2">
        <f>IF(H38, C38, "")</f>
        <v>182</v>
      </c>
      <c r="M38" s="2" t="b">
        <f>OR(AND(E38, G38), AND(F38, H38))</f>
        <v>0</v>
      </c>
      <c r="N38" s="2" t="b">
        <f>OR(AND(E38, H38), AND(F38, G38))</f>
        <v>1</v>
      </c>
      <c r="O38" s="2" t="b">
        <f>AND(E38, G38)</f>
        <v>0</v>
      </c>
      <c r="P38" s="2" t="b">
        <f>AND(F38, G38)</f>
        <v>0</v>
      </c>
      <c r="Q38" s="2" t="b">
        <f>AND(F38, H38)</f>
        <v>0</v>
      </c>
      <c r="R38" s="2" t="b">
        <f>AND(E38, H38)</f>
        <v>1</v>
      </c>
      <c r="T38" s="2">
        <f>SUM(B38, C38)</f>
        <v>219</v>
      </c>
      <c r="U38" s="2" t="b">
        <f t="shared" si="0"/>
        <v>1</v>
      </c>
      <c r="V38" s="2" t="b">
        <f t="shared" si="1"/>
        <v>0</v>
      </c>
      <c r="W38" s="2">
        <f t="shared" si="2"/>
        <v>219</v>
      </c>
      <c r="X38" s="2" t="str">
        <f t="shared" si="3"/>
        <v/>
      </c>
      <c r="Y38" s="2" t="b">
        <f>AND(ISODD(B38),ISODD(T38))</f>
        <v>1</v>
      </c>
      <c r="Z38" s="2" t="b">
        <f>AND(ISODD(B38),ISEVEN(T38))</f>
        <v>0</v>
      </c>
      <c r="AA38" s="2" t="b">
        <f>AND(ISEVEN(B38),ISODD(T38))</f>
        <v>0</v>
      </c>
      <c r="AB38" s="2" t="b">
        <f>AND(ISEVEN(B38),ISEVEN(T38))</f>
        <v>0</v>
      </c>
      <c r="AC38" s="2">
        <f>IF(AND(ISODD(B38),ISODD(T38)), B38, "")</f>
        <v>37</v>
      </c>
      <c r="AD38" s="2" t="str">
        <f>IF(AND(ISODD(B38),ISEVEN(T38)), B38, "")</f>
        <v/>
      </c>
      <c r="AE38" s="2" t="str">
        <f>IF(AND(ISEVEN(B38),ISODD(T38)), B38, "")</f>
        <v/>
      </c>
      <c r="AF38" s="2" t="str">
        <f>IF(AND(ISEVEN(B38),ISEVEN(T38)), B38, "")</f>
        <v/>
      </c>
      <c r="AG38" s="2" t="str">
        <f>IF(AND(ISODD(C38),ISODD(T38)), C38, "")</f>
        <v/>
      </c>
      <c r="AH38" s="2" t="str">
        <f>IF(AND(ISODD(C38),ISEVEN(T38)), C38, "")</f>
        <v/>
      </c>
      <c r="AI38" s="2">
        <f>IF(AND(ISEVEN(C38),ISODD(T38)), C38, "")</f>
        <v>182</v>
      </c>
      <c r="AJ38" s="2" t="str">
        <f>IF(AND(ISEVEN(C38),ISEVEN(T38)), C38, "")</f>
        <v/>
      </c>
      <c r="AK38" s="2">
        <f>IF(U38,B38, "")</f>
        <v>37</v>
      </c>
      <c r="AL38" s="2" t="str">
        <f>IF(V38, B38, "")</f>
        <v/>
      </c>
      <c r="AM38" s="2">
        <f>IF(U38, C38, "")</f>
        <v>182</v>
      </c>
      <c r="AN38" s="2" t="str">
        <f>IF(V38, C38, "")</f>
        <v/>
      </c>
    </row>
    <row r="39" spans="2:40" hidden="1" outlineLevel="1" x14ac:dyDescent="0.25">
      <c r="B39" s="2">
        <v>38</v>
      </c>
      <c r="C39" s="2">
        <v>88</v>
      </c>
      <c r="E39" s="2" t="b">
        <f>ISODD(B39)</f>
        <v>0</v>
      </c>
      <c r="F39" s="2" t="b">
        <f>ISEVEN(B39)</f>
        <v>1</v>
      </c>
      <c r="G39" s="2" t="b">
        <f>ISODD(C39)</f>
        <v>0</v>
      </c>
      <c r="H39" s="2" t="b">
        <f>ISEVEN(C39)</f>
        <v>1</v>
      </c>
      <c r="I39" s="2" t="str">
        <f>IF(E39, B39, "")</f>
        <v/>
      </c>
      <c r="J39" s="2">
        <f>IF(F39, B39, "")</f>
        <v>38</v>
      </c>
      <c r="K39" s="2" t="str">
        <f>IF(G39, C39, "")</f>
        <v/>
      </c>
      <c r="L39" s="2">
        <f>IF(H39, C39, "")</f>
        <v>88</v>
      </c>
      <c r="M39" s="2" t="b">
        <f>OR(AND(E39, G39), AND(F39, H39))</f>
        <v>1</v>
      </c>
      <c r="N39" s="2" t="b">
        <f>OR(AND(E39, H39), AND(F39, G39))</f>
        <v>0</v>
      </c>
      <c r="O39" s="2" t="b">
        <f>AND(E39, G39)</f>
        <v>0</v>
      </c>
      <c r="P39" s="2" t="b">
        <f>AND(F39, G39)</f>
        <v>0</v>
      </c>
      <c r="Q39" s="2" t="b">
        <f>AND(F39, H39)</f>
        <v>1</v>
      </c>
      <c r="R39" s="2" t="b">
        <f>AND(E39, H39)</f>
        <v>0</v>
      </c>
      <c r="T39" s="2">
        <f>SUM(B39, C39)</f>
        <v>126</v>
      </c>
      <c r="U39" s="2" t="b">
        <f t="shared" si="0"/>
        <v>0</v>
      </c>
      <c r="V39" s="2" t="b">
        <f t="shared" si="1"/>
        <v>1</v>
      </c>
      <c r="W39" s="2" t="str">
        <f t="shared" si="2"/>
        <v/>
      </c>
      <c r="X39" s="2">
        <f t="shared" si="3"/>
        <v>126</v>
      </c>
      <c r="Y39" s="2" t="b">
        <f>AND(ISODD(B39),ISODD(T39))</f>
        <v>0</v>
      </c>
      <c r="Z39" s="2" t="b">
        <f>AND(ISODD(B39),ISEVEN(T39))</f>
        <v>0</v>
      </c>
      <c r="AA39" s="2" t="b">
        <f>AND(ISEVEN(B39),ISODD(T39))</f>
        <v>0</v>
      </c>
      <c r="AB39" s="2" t="b">
        <f>AND(ISEVEN(B39),ISEVEN(T39))</f>
        <v>1</v>
      </c>
      <c r="AC39" s="2" t="str">
        <f>IF(AND(ISODD(B39),ISODD(T39)), B39, "")</f>
        <v/>
      </c>
      <c r="AD39" s="2" t="str">
        <f>IF(AND(ISODD(B39),ISEVEN(T39)), B39, "")</f>
        <v/>
      </c>
      <c r="AE39" s="2" t="str">
        <f>IF(AND(ISEVEN(B39),ISODD(T39)), B39, "")</f>
        <v/>
      </c>
      <c r="AF39" s="2">
        <f>IF(AND(ISEVEN(B39),ISEVEN(T39)), B39, "")</f>
        <v>38</v>
      </c>
      <c r="AG39" s="2" t="str">
        <f>IF(AND(ISODD(C39),ISODD(T39)), C39, "")</f>
        <v/>
      </c>
      <c r="AH39" s="2" t="str">
        <f>IF(AND(ISODD(C39),ISEVEN(T39)), C39, "")</f>
        <v/>
      </c>
      <c r="AI39" s="2" t="str">
        <f>IF(AND(ISEVEN(C39),ISODD(T39)), C39, "")</f>
        <v/>
      </c>
      <c r="AJ39" s="2">
        <f>IF(AND(ISEVEN(C39),ISEVEN(T39)), C39, "")</f>
        <v>88</v>
      </c>
      <c r="AK39" s="2" t="str">
        <f>IF(U39,B39, "")</f>
        <v/>
      </c>
      <c r="AL39" s="2">
        <f>IF(V39, B39, "")</f>
        <v>38</v>
      </c>
      <c r="AM39" s="2" t="str">
        <f>IF(U39, C39, "")</f>
        <v/>
      </c>
      <c r="AN39" s="2">
        <f>IF(V39, C39, "")</f>
        <v>88</v>
      </c>
    </row>
    <row r="40" spans="2:40" hidden="1" outlineLevel="1" x14ac:dyDescent="0.25">
      <c r="B40" s="2">
        <v>39</v>
      </c>
      <c r="C40" s="2">
        <v>75</v>
      </c>
      <c r="E40" s="2" t="b">
        <f>ISODD(B40)</f>
        <v>1</v>
      </c>
      <c r="F40" s="2" t="b">
        <f>ISEVEN(B40)</f>
        <v>0</v>
      </c>
      <c r="G40" s="2" t="b">
        <f>ISODD(C40)</f>
        <v>1</v>
      </c>
      <c r="H40" s="2" t="b">
        <f>ISEVEN(C40)</f>
        <v>0</v>
      </c>
      <c r="I40" s="2">
        <f>IF(E40, B40, "")</f>
        <v>39</v>
      </c>
      <c r="J40" s="2" t="str">
        <f>IF(F40, B40, "")</f>
        <v/>
      </c>
      <c r="K40" s="2">
        <f>IF(G40, C40, "")</f>
        <v>75</v>
      </c>
      <c r="L40" s="2" t="str">
        <f>IF(H40, C40, "")</f>
        <v/>
      </c>
      <c r="M40" s="2" t="b">
        <f>OR(AND(E40, G40), AND(F40, H40))</f>
        <v>1</v>
      </c>
      <c r="N40" s="2" t="b">
        <f>OR(AND(E40, H40), AND(F40, G40))</f>
        <v>0</v>
      </c>
      <c r="O40" s="2" t="b">
        <f>AND(E40, G40)</f>
        <v>1</v>
      </c>
      <c r="P40" s="2" t="b">
        <f>AND(F40, G40)</f>
        <v>0</v>
      </c>
      <c r="Q40" s="2" t="b">
        <f>AND(F40, H40)</f>
        <v>0</v>
      </c>
      <c r="R40" s="2" t="b">
        <f>AND(E40, H40)</f>
        <v>0</v>
      </c>
      <c r="T40" s="2">
        <f>SUM(B40, C40)</f>
        <v>114</v>
      </c>
      <c r="U40" s="2" t="b">
        <f t="shared" si="0"/>
        <v>0</v>
      </c>
      <c r="V40" s="2" t="b">
        <f t="shared" si="1"/>
        <v>1</v>
      </c>
      <c r="W40" s="2" t="str">
        <f t="shared" si="2"/>
        <v/>
      </c>
      <c r="X40" s="2">
        <f t="shared" si="3"/>
        <v>114</v>
      </c>
      <c r="Y40" s="2" t="b">
        <f>AND(ISODD(B40),ISODD(T40))</f>
        <v>0</v>
      </c>
      <c r="Z40" s="2" t="b">
        <f>AND(ISODD(B40),ISEVEN(T40))</f>
        <v>1</v>
      </c>
      <c r="AA40" s="2" t="b">
        <f>AND(ISEVEN(B40),ISODD(T40))</f>
        <v>0</v>
      </c>
      <c r="AB40" s="2" t="b">
        <f>AND(ISEVEN(B40),ISEVEN(T40))</f>
        <v>0</v>
      </c>
      <c r="AC40" s="2" t="str">
        <f>IF(AND(ISODD(B40),ISODD(T40)), B40, "")</f>
        <v/>
      </c>
      <c r="AD40" s="2">
        <f>IF(AND(ISODD(B40),ISEVEN(T40)), B40, "")</f>
        <v>39</v>
      </c>
      <c r="AE40" s="2" t="str">
        <f>IF(AND(ISEVEN(B40),ISODD(T40)), B40, "")</f>
        <v/>
      </c>
      <c r="AF40" s="2" t="str">
        <f>IF(AND(ISEVEN(B40),ISEVEN(T40)), B40, "")</f>
        <v/>
      </c>
      <c r="AG40" s="2" t="str">
        <f>IF(AND(ISODD(C40),ISODD(T40)), C40, "")</f>
        <v/>
      </c>
      <c r="AH40" s="2">
        <f>IF(AND(ISODD(C40),ISEVEN(T40)), C40, "")</f>
        <v>75</v>
      </c>
      <c r="AI40" s="2" t="str">
        <f>IF(AND(ISEVEN(C40),ISODD(T40)), C40, "")</f>
        <v/>
      </c>
      <c r="AJ40" s="2" t="str">
        <f>IF(AND(ISEVEN(C40),ISEVEN(T40)), C40, "")</f>
        <v/>
      </c>
      <c r="AK40" s="2" t="str">
        <f>IF(U40,B40, "")</f>
        <v/>
      </c>
      <c r="AL40" s="2">
        <f>IF(V40, B40, "")</f>
        <v>39</v>
      </c>
      <c r="AM40" s="2" t="str">
        <f>IF(U40, C40, "")</f>
        <v/>
      </c>
      <c r="AN40" s="2">
        <f>IF(V40, C40, "")</f>
        <v>75</v>
      </c>
    </row>
    <row r="41" spans="2:40" hidden="1" outlineLevel="1" x14ac:dyDescent="0.25">
      <c r="B41" s="2">
        <v>40</v>
      </c>
      <c r="C41" s="2">
        <v>85</v>
      </c>
      <c r="E41" s="2" t="b">
        <f>ISODD(B41)</f>
        <v>0</v>
      </c>
      <c r="F41" s="2" t="b">
        <f>ISEVEN(B41)</f>
        <v>1</v>
      </c>
      <c r="G41" s="2" t="b">
        <f>ISODD(C41)</f>
        <v>1</v>
      </c>
      <c r="H41" s="2" t="b">
        <f>ISEVEN(C41)</f>
        <v>0</v>
      </c>
      <c r="I41" s="2" t="str">
        <f>IF(E41, B41, "")</f>
        <v/>
      </c>
      <c r="J41" s="2">
        <f>IF(F41, B41, "")</f>
        <v>40</v>
      </c>
      <c r="K41" s="2">
        <f>IF(G41, C41, "")</f>
        <v>85</v>
      </c>
      <c r="L41" s="2" t="str">
        <f>IF(H41, C41, "")</f>
        <v/>
      </c>
      <c r="M41" s="2" t="b">
        <f>OR(AND(E41, G41), AND(F41, H41))</f>
        <v>0</v>
      </c>
      <c r="N41" s="2" t="b">
        <f>OR(AND(E41, H41), AND(F41, G41))</f>
        <v>1</v>
      </c>
      <c r="O41" s="2" t="b">
        <f>AND(E41, G41)</f>
        <v>0</v>
      </c>
      <c r="P41" s="2" t="b">
        <f>AND(F41, G41)</f>
        <v>1</v>
      </c>
      <c r="Q41" s="2" t="b">
        <f>AND(F41, H41)</f>
        <v>0</v>
      </c>
      <c r="R41" s="2" t="b">
        <f>AND(E41, H41)</f>
        <v>0</v>
      </c>
      <c r="T41" s="2">
        <f>SUM(B41, C41)</f>
        <v>125</v>
      </c>
      <c r="U41" s="2" t="b">
        <f t="shared" si="0"/>
        <v>1</v>
      </c>
      <c r="V41" s="2" t="b">
        <f t="shared" si="1"/>
        <v>0</v>
      </c>
      <c r="W41" s="2">
        <f t="shared" si="2"/>
        <v>125</v>
      </c>
      <c r="X41" s="2" t="str">
        <f t="shared" si="3"/>
        <v/>
      </c>
      <c r="Y41" s="2" t="b">
        <f>AND(ISODD(B41),ISODD(T41))</f>
        <v>0</v>
      </c>
      <c r="Z41" s="2" t="b">
        <f>AND(ISODD(B41),ISEVEN(T41))</f>
        <v>0</v>
      </c>
      <c r="AA41" s="2" t="b">
        <f>AND(ISEVEN(B41),ISODD(T41))</f>
        <v>1</v>
      </c>
      <c r="AB41" s="2" t="b">
        <f>AND(ISEVEN(B41),ISEVEN(T41))</f>
        <v>0</v>
      </c>
      <c r="AC41" s="2" t="str">
        <f>IF(AND(ISODD(B41),ISODD(T41)), B41, "")</f>
        <v/>
      </c>
      <c r="AD41" s="2" t="str">
        <f>IF(AND(ISODD(B41),ISEVEN(T41)), B41, "")</f>
        <v/>
      </c>
      <c r="AE41" s="2">
        <f>IF(AND(ISEVEN(B41),ISODD(T41)), B41, "")</f>
        <v>40</v>
      </c>
      <c r="AF41" s="2" t="str">
        <f>IF(AND(ISEVEN(B41),ISEVEN(T41)), B41, "")</f>
        <v/>
      </c>
      <c r="AG41" s="2">
        <f>IF(AND(ISODD(C41),ISODD(T41)), C41, "")</f>
        <v>85</v>
      </c>
      <c r="AH41" s="2" t="str">
        <f>IF(AND(ISODD(C41),ISEVEN(T41)), C41, "")</f>
        <v/>
      </c>
      <c r="AI41" s="2" t="str">
        <f>IF(AND(ISEVEN(C41),ISODD(T41)), C41, "")</f>
        <v/>
      </c>
      <c r="AJ41" s="2" t="str">
        <f>IF(AND(ISEVEN(C41),ISEVEN(T41)), C41, "")</f>
        <v/>
      </c>
      <c r="AK41" s="2">
        <f>IF(U41,B41, "")</f>
        <v>40</v>
      </c>
      <c r="AL41" s="2" t="str">
        <f>IF(V41, B41, "")</f>
        <v/>
      </c>
      <c r="AM41" s="2">
        <f>IF(U41, C41, "")</f>
        <v>85</v>
      </c>
      <c r="AN41" s="2" t="str">
        <f>IF(V41, C41, "")</f>
        <v/>
      </c>
    </row>
    <row r="42" spans="2:40" hidden="1" outlineLevel="1" x14ac:dyDescent="0.25">
      <c r="B42" s="2">
        <v>41</v>
      </c>
      <c r="C42" s="2">
        <v>54</v>
      </c>
      <c r="E42" s="2" t="b">
        <f>ISODD(B42)</f>
        <v>1</v>
      </c>
      <c r="F42" s="2" t="b">
        <f>ISEVEN(B42)</f>
        <v>0</v>
      </c>
      <c r="G42" s="2" t="b">
        <f>ISODD(C42)</f>
        <v>0</v>
      </c>
      <c r="H42" s="2" t="b">
        <f>ISEVEN(C42)</f>
        <v>1</v>
      </c>
      <c r="I42" s="2">
        <f>IF(E42, B42, "")</f>
        <v>41</v>
      </c>
      <c r="J42" s="2" t="str">
        <f>IF(F42, B42, "")</f>
        <v/>
      </c>
      <c r="K42" s="2" t="str">
        <f>IF(G42, C42, "")</f>
        <v/>
      </c>
      <c r="L42" s="2">
        <f>IF(H42, C42, "")</f>
        <v>54</v>
      </c>
      <c r="M42" s="2" t="b">
        <f>OR(AND(E42, G42), AND(F42, H42))</f>
        <v>0</v>
      </c>
      <c r="N42" s="2" t="b">
        <f>OR(AND(E42, H42), AND(F42, G42))</f>
        <v>1</v>
      </c>
      <c r="O42" s="2" t="b">
        <f>AND(E42, G42)</f>
        <v>0</v>
      </c>
      <c r="P42" s="2" t="b">
        <f>AND(F42, G42)</f>
        <v>0</v>
      </c>
      <c r="Q42" s="2" t="b">
        <f>AND(F42, H42)</f>
        <v>0</v>
      </c>
      <c r="R42" s="2" t="b">
        <f>AND(E42, H42)</f>
        <v>1</v>
      </c>
      <c r="T42" s="2">
        <f>SUM(B42, C42)</f>
        <v>95</v>
      </c>
      <c r="U42" s="2" t="b">
        <f t="shared" si="0"/>
        <v>1</v>
      </c>
      <c r="V42" s="2" t="b">
        <f t="shared" si="1"/>
        <v>0</v>
      </c>
      <c r="W42" s="2">
        <f t="shared" si="2"/>
        <v>95</v>
      </c>
      <c r="X42" s="2" t="str">
        <f t="shared" si="3"/>
        <v/>
      </c>
      <c r="Y42" s="2" t="b">
        <f>AND(ISODD(B42),ISODD(T42))</f>
        <v>1</v>
      </c>
      <c r="Z42" s="2" t="b">
        <f>AND(ISODD(B42),ISEVEN(T42))</f>
        <v>0</v>
      </c>
      <c r="AA42" s="2" t="b">
        <f>AND(ISEVEN(B42),ISODD(T42))</f>
        <v>0</v>
      </c>
      <c r="AB42" s="2" t="b">
        <f>AND(ISEVEN(B42),ISEVEN(T42))</f>
        <v>0</v>
      </c>
      <c r="AC42" s="2">
        <f>IF(AND(ISODD(B42),ISODD(T42)), B42, "")</f>
        <v>41</v>
      </c>
      <c r="AD42" s="2" t="str">
        <f>IF(AND(ISODD(B42),ISEVEN(T42)), B42, "")</f>
        <v/>
      </c>
      <c r="AE42" s="2" t="str">
        <f>IF(AND(ISEVEN(B42),ISODD(T42)), B42, "")</f>
        <v/>
      </c>
      <c r="AF42" s="2" t="str">
        <f>IF(AND(ISEVEN(B42),ISEVEN(T42)), B42, "")</f>
        <v/>
      </c>
      <c r="AG42" s="2" t="str">
        <f>IF(AND(ISODD(C42),ISODD(T42)), C42, "")</f>
        <v/>
      </c>
      <c r="AH42" s="2" t="str">
        <f>IF(AND(ISODD(C42),ISEVEN(T42)), C42, "")</f>
        <v/>
      </c>
      <c r="AI42" s="2">
        <f>IF(AND(ISEVEN(C42),ISODD(T42)), C42, "")</f>
        <v>54</v>
      </c>
      <c r="AJ42" s="2" t="str">
        <f>IF(AND(ISEVEN(C42),ISEVEN(T42)), C42, "")</f>
        <v/>
      </c>
      <c r="AK42" s="2">
        <f>IF(U42,B42, "")</f>
        <v>41</v>
      </c>
      <c r="AL42" s="2" t="str">
        <f>IF(V42, B42, "")</f>
        <v/>
      </c>
      <c r="AM42" s="2">
        <f>IF(U42, C42, "")</f>
        <v>54</v>
      </c>
      <c r="AN42" s="2" t="str">
        <f>IF(V42, C42, "")</f>
        <v/>
      </c>
    </row>
    <row r="43" spans="2:40" hidden="1" outlineLevel="1" x14ac:dyDescent="0.25">
      <c r="B43" s="2">
        <v>42</v>
      </c>
      <c r="C43" s="2">
        <v>53</v>
      </c>
      <c r="E43" s="2" t="b">
        <f>ISODD(B43)</f>
        <v>0</v>
      </c>
      <c r="F43" s="2" t="b">
        <f>ISEVEN(B43)</f>
        <v>1</v>
      </c>
      <c r="G43" s="2" t="b">
        <f>ISODD(C43)</f>
        <v>1</v>
      </c>
      <c r="H43" s="2" t="b">
        <f>ISEVEN(C43)</f>
        <v>0</v>
      </c>
      <c r="I43" s="2" t="str">
        <f>IF(E43, B43, "")</f>
        <v/>
      </c>
      <c r="J43" s="2">
        <f>IF(F43, B43, "")</f>
        <v>42</v>
      </c>
      <c r="K43" s="2">
        <f>IF(G43, C43, "")</f>
        <v>53</v>
      </c>
      <c r="L43" s="2" t="str">
        <f>IF(H43, C43, "")</f>
        <v/>
      </c>
      <c r="M43" s="2" t="b">
        <f>OR(AND(E43, G43), AND(F43, H43))</f>
        <v>0</v>
      </c>
      <c r="N43" s="2" t="b">
        <f>OR(AND(E43, H43), AND(F43, G43))</f>
        <v>1</v>
      </c>
      <c r="O43" s="2" t="b">
        <f>AND(E43, G43)</f>
        <v>0</v>
      </c>
      <c r="P43" s="2" t="b">
        <f>AND(F43, G43)</f>
        <v>1</v>
      </c>
      <c r="Q43" s="2" t="b">
        <f>AND(F43, H43)</f>
        <v>0</v>
      </c>
      <c r="R43" s="2" t="b">
        <f>AND(E43, H43)</f>
        <v>0</v>
      </c>
      <c r="T43" s="2">
        <f>SUM(B43, C43)</f>
        <v>95</v>
      </c>
      <c r="U43" s="2" t="b">
        <f t="shared" si="0"/>
        <v>1</v>
      </c>
      <c r="V43" s="2" t="b">
        <f t="shared" si="1"/>
        <v>0</v>
      </c>
      <c r="W43" s="2">
        <f t="shared" si="2"/>
        <v>95</v>
      </c>
      <c r="X43" s="2" t="str">
        <f t="shared" si="3"/>
        <v/>
      </c>
      <c r="Y43" s="2" t="b">
        <f>AND(ISODD(B43),ISODD(T43))</f>
        <v>0</v>
      </c>
      <c r="Z43" s="2" t="b">
        <f>AND(ISODD(B43),ISEVEN(T43))</f>
        <v>0</v>
      </c>
      <c r="AA43" s="2" t="b">
        <f>AND(ISEVEN(B43),ISODD(T43))</f>
        <v>1</v>
      </c>
      <c r="AB43" s="2" t="b">
        <f>AND(ISEVEN(B43),ISEVEN(T43))</f>
        <v>0</v>
      </c>
      <c r="AC43" s="2" t="str">
        <f>IF(AND(ISODD(B43),ISODD(T43)), B43, "")</f>
        <v/>
      </c>
      <c r="AD43" s="2" t="str">
        <f>IF(AND(ISODD(B43),ISEVEN(T43)), B43, "")</f>
        <v/>
      </c>
      <c r="AE43" s="2">
        <f>IF(AND(ISEVEN(B43),ISODD(T43)), B43, "")</f>
        <v>42</v>
      </c>
      <c r="AF43" s="2" t="str">
        <f>IF(AND(ISEVEN(B43),ISEVEN(T43)), B43, "")</f>
        <v/>
      </c>
      <c r="AG43" s="2">
        <f>IF(AND(ISODD(C43),ISODD(T43)), C43, "")</f>
        <v>53</v>
      </c>
      <c r="AH43" s="2" t="str">
        <f>IF(AND(ISODD(C43),ISEVEN(T43)), C43, "")</f>
        <v/>
      </c>
      <c r="AI43" s="2" t="str">
        <f>IF(AND(ISEVEN(C43),ISODD(T43)), C43, "")</f>
        <v/>
      </c>
      <c r="AJ43" s="2" t="str">
        <f>IF(AND(ISEVEN(C43),ISEVEN(T43)), C43, "")</f>
        <v/>
      </c>
      <c r="AK43" s="2">
        <f>IF(U43,B43, "")</f>
        <v>42</v>
      </c>
      <c r="AL43" s="2" t="str">
        <f>IF(V43, B43, "")</f>
        <v/>
      </c>
      <c r="AM43" s="2">
        <f>IF(U43, C43, "")</f>
        <v>53</v>
      </c>
      <c r="AN43" s="2" t="str">
        <f>IF(V43, C43, "")</f>
        <v/>
      </c>
    </row>
    <row r="44" spans="2:40" hidden="1" outlineLevel="1" x14ac:dyDescent="0.25">
      <c r="B44" s="2">
        <v>43</v>
      </c>
      <c r="C44" s="2">
        <v>89</v>
      </c>
      <c r="E44" s="2" t="b">
        <f>ISODD(B44)</f>
        <v>1</v>
      </c>
      <c r="F44" s="2" t="b">
        <f>ISEVEN(B44)</f>
        <v>0</v>
      </c>
      <c r="G44" s="2" t="b">
        <f>ISODD(C44)</f>
        <v>1</v>
      </c>
      <c r="H44" s="2" t="b">
        <f>ISEVEN(C44)</f>
        <v>0</v>
      </c>
      <c r="I44" s="2">
        <f>IF(E44, B44, "")</f>
        <v>43</v>
      </c>
      <c r="J44" s="2" t="str">
        <f>IF(F44, B44, "")</f>
        <v/>
      </c>
      <c r="K44" s="2">
        <f>IF(G44, C44, "")</f>
        <v>89</v>
      </c>
      <c r="L44" s="2" t="str">
        <f>IF(H44, C44, "")</f>
        <v/>
      </c>
      <c r="M44" s="2" t="b">
        <f>OR(AND(E44, G44), AND(F44, H44))</f>
        <v>1</v>
      </c>
      <c r="N44" s="2" t="b">
        <f>OR(AND(E44, H44), AND(F44, G44))</f>
        <v>0</v>
      </c>
      <c r="O44" s="2" t="b">
        <f>AND(E44, G44)</f>
        <v>1</v>
      </c>
      <c r="P44" s="2" t="b">
        <f>AND(F44, G44)</f>
        <v>0</v>
      </c>
      <c r="Q44" s="2" t="b">
        <f>AND(F44, H44)</f>
        <v>0</v>
      </c>
      <c r="R44" s="2" t="b">
        <f>AND(E44, H44)</f>
        <v>0</v>
      </c>
      <c r="T44" s="2">
        <f>SUM(B44, C44)</f>
        <v>132</v>
      </c>
      <c r="U44" s="2" t="b">
        <f t="shared" si="0"/>
        <v>0</v>
      </c>
      <c r="V44" s="2" t="b">
        <f t="shared" si="1"/>
        <v>1</v>
      </c>
      <c r="W44" s="2" t="str">
        <f t="shared" si="2"/>
        <v/>
      </c>
      <c r="X44" s="2">
        <f t="shared" si="3"/>
        <v>132</v>
      </c>
      <c r="Y44" s="2" t="b">
        <f>AND(ISODD(B44),ISODD(T44))</f>
        <v>0</v>
      </c>
      <c r="Z44" s="2" t="b">
        <f>AND(ISODD(B44),ISEVEN(T44))</f>
        <v>1</v>
      </c>
      <c r="AA44" s="2" t="b">
        <f>AND(ISEVEN(B44),ISODD(T44))</f>
        <v>0</v>
      </c>
      <c r="AB44" s="2" t="b">
        <f>AND(ISEVEN(B44),ISEVEN(T44))</f>
        <v>0</v>
      </c>
      <c r="AC44" s="2" t="str">
        <f>IF(AND(ISODD(B44),ISODD(T44)), B44, "")</f>
        <v/>
      </c>
      <c r="AD44" s="2">
        <f>IF(AND(ISODD(B44),ISEVEN(T44)), B44, "")</f>
        <v>43</v>
      </c>
      <c r="AE44" s="2" t="str">
        <f>IF(AND(ISEVEN(B44),ISODD(T44)), B44, "")</f>
        <v/>
      </c>
      <c r="AF44" s="2" t="str">
        <f>IF(AND(ISEVEN(B44),ISEVEN(T44)), B44, "")</f>
        <v/>
      </c>
      <c r="AG44" s="2" t="str">
        <f>IF(AND(ISODD(C44),ISODD(T44)), C44, "")</f>
        <v/>
      </c>
      <c r="AH44" s="2">
        <f>IF(AND(ISODD(C44),ISEVEN(T44)), C44, "")</f>
        <v>89</v>
      </c>
      <c r="AI44" s="2" t="str">
        <f>IF(AND(ISEVEN(C44),ISODD(T44)), C44, "")</f>
        <v/>
      </c>
      <c r="AJ44" s="2" t="str">
        <f>IF(AND(ISEVEN(C44),ISEVEN(T44)), C44, "")</f>
        <v/>
      </c>
      <c r="AK44" s="2" t="str">
        <f>IF(U44,B44, "")</f>
        <v/>
      </c>
      <c r="AL44" s="2">
        <f>IF(V44, B44, "")</f>
        <v>43</v>
      </c>
      <c r="AM44" s="2" t="str">
        <f>IF(U44, C44, "")</f>
        <v/>
      </c>
      <c r="AN44" s="2">
        <f>IF(V44, C44, "")</f>
        <v>89</v>
      </c>
    </row>
    <row r="45" spans="2:40" hidden="1" outlineLevel="1" x14ac:dyDescent="0.25">
      <c r="B45" s="2">
        <v>44</v>
      </c>
      <c r="C45" s="2">
        <v>59</v>
      </c>
      <c r="E45" s="2" t="b">
        <f>ISODD(B45)</f>
        <v>0</v>
      </c>
      <c r="F45" s="2" t="b">
        <f>ISEVEN(B45)</f>
        <v>1</v>
      </c>
      <c r="G45" s="2" t="b">
        <f>ISODD(C45)</f>
        <v>1</v>
      </c>
      <c r="H45" s="2" t="b">
        <f>ISEVEN(C45)</f>
        <v>0</v>
      </c>
      <c r="I45" s="2" t="str">
        <f>IF(E45, B45, "")</f>
        <v/>
      </c>
      <c r="J45" s="2">
        <f>IF(F45, B45, "")</f>
        <v>44</v>
      </c>
      <c r="K45" s="2">
        <f>IF(G45, C45, "")</f>
        <v>59</v>
      </c>
      <c r="L45" s="2" t="str">
        <f>IF(H45, C45, "")</f>
        <v/>
      </c>
      <c r="M45" s="2" t="b">
        <f>OR(AND(E45, G45), AND(F45, H45))</f>
        <v>0</v>
      </c>
      <c r="N45" s="2" t="b">
        <f>OR(AND(E45, H45), AND(F45, G45))</f>
        <v>1</v>
      </c>
      <c r="O45" s="2" t="b">
        <f>AND(E45, G45)</f>
        <v>0</v>
      </c>
      <c r="P45" s="2" t="b">
        <f>AND(F45, G45)</f>
        <v>1</v>
      </c>
      <c r="Q45" s="2" t="b">
        <f>AND(F45, H45)</f>
        <v>0</v>
      </c>
      <c r="R45" s="2" t="b">
        <f>AND(E45, H45)</f>
        <v>0</v>
      </c>
      <c r="T45" s="2">
        <f>SUM(B45, C45)</f>
        <v>103</v>
      </c>
      <c r="U45" s="2" t="b">
        <f t="shared" si="0"/>
        <v>1</v>
      </c>
      <c r="V45" s="2" t="b">
        <f t="shared" si="1"/>
        <v>0</v>
      </c>
      <c r="W45" s="2">
        <f t="shared" si="2"/>
        <v>103</v>
      </c>
      <c r="X45" s="2" t="str">
        <f t="shared" si="3"/>
        <v/>
      </c>
      <c r="Y45" s="2" t="b">
        <f>AND(ISODD(B45),ISODD(T45))</f>
        <v>0</v>
      </c>
      <c r="Z45" s="2" t="b">
        <f>AND(ISODD(B45),ISEVEN(T45))</f>
        <v>0</v>
      </c>
      <c r="AA45" s="2" t="b">
        <f>AND(ISEVEN(B45),ISODD(T45))</f>
        <v>1</v>
      </c>
      <c r="AB45" s="2" t="b">
        <f>AND(ISEVEN(B45),ISEVEN(T45))</f>
        <v>0</v>
      </c>
      <c r="AC45" s="2" t="str">
        <f>IF(AND(ISODD(B45),ISODD(T45)), B45, "")</f>
        <v/>
      </c>
      <c r="AD45" s="2" t="str">
        <f>IF(AND(ISODD(B45),ISEVEN(T45)), B45, "")</f>
        <v/>
      </c>
      <c r="AE45" s="2">
        <f>IF(AND(ISEVEN(B45),ISODD(T45)), B45, "")</f>
        <v>44</v>
      </c>
      <c r="AF45" s="2" t="str">
        <f>IF(AND(ISEVEN(B45),ISEVEN(T45)), B45, "")</f>
        <v/>
      </c>
      <c r="AG45" s="2">
        <f>IF(AND(ISODD(C45),ISODD(T45)), C45, "")</f>
        <v>59</v>
      </c>
      <c r="AH45" s="2" t="str">
        <f>IF(AND(ISODD(C45),ISEVEN(T45)), C45, "")</f>
        <v/>
      </c>
      <c r="AI45" s="2" t="str">
        <f>IF(AND(ISEVEN(C45),ISODD(T45)), C45, "")</f>
        <v/>
      </c>
      <c r="AJ45" s="2" t="str">
        <f>IF(AND(ISEVEN(C45),ISEVEN(T45)), C45, "")</f>
        <v/>
      </c>
      <c r="AK45" s="2">
        <f>IF(U45,B45, "")</f>
        <v>44</v>
      </c>
      <c r="AL45" s="2" t="str">
        <f>IF(V45, B45, "")</f>
        <v/>
      </c>
      <c r="AM45" s="2">
        <f>IF(U45, C45, "")</f>
        <v>59</v>
      </c>
      <c r="AN45" s="2" t="str">
        <f>IF(V45, C45, "")</f>
        <v/>
      </c>
    </row>
    <row r="46" spans="2:40" hidden="1" outlineLevel="1" x14ac:dyDescent="0.25">
      <c r="B46" s="2">
        <v>45</v>
      </c>
      <c r="C46" s="2">
        <v>37</v>
      </c>
      <c r="E46" s="2" t="b">
        <f>ISODD(B46)</f>
        <v>1</v>
      </c>
      <c r="F46" s="2" t="b">
        <f>ISEVEN(B46)</f>
        <v>0</v>
      </c>
      <c r="G46" s="2" t="b">
        <f>ISODD(C46)</f>
        <v>1</v>
      </c>
      <c r="H46" s="2" t="b">
        <f>ISEVEN(C46)</f>
        <v>0</v>
      </c>
      <c r="I46" s="2">
        <f>IF(E46, B46, "")</f>
        <v>45</v>
      </c>
      <c r="J46" s="2" t="str">
        <f>IF(F46, B46, "")</f>
        <v/>
      </c>
      <c r="K46" s="2">
        <f>IF(G46, C46, "")</f>
        <v>37</v>
      </c>
      <c r="L46" s="2" t="str">
        <f>IF(H46, C46, "")</f>
        <v/>
      </c>
      <c r="M46" s="2" t="b">
        <f>OR(AND(E46, G46), AND(F46, H46))</f>
        <v>1</v>
      </c>
      <c r="N46" s="2" t="b">
        <f>OR(AND(E46, H46), AND(F46, G46))</f>
        <v>0</v>
      </c>
      <c r="O46" s="2" t="b">
        <f>AND(E46, G46)</f>
        <v>1</v>
      </c>
      <c r="P46" s="2" t="b">
        <f>AND(F46, G46)</f>
        <v>0</v>
      </c>
      <c r="Q46" s="2" t="b">
        <f>AND(F46, H46)</f>
        <v>0</v>
      </c>
      <c r="R46" s="2" t="b">
        <f>AND(E46, H46)</f>
        <v>0</v>
      </c>
      <c r="T46" s="2">
        <f>SUM(B46, C46)</f>
        <v>82</v>
      </c>
      <c r="U46" s="2" t="b">
        <f t="shared" si="0"/>
        <v>0</v>
      </c>
      <c r="V46" s="2" t="b">
        <f t="shared" si="1"/>
        <v>1</v>
      </c>
      <c r="W46" s="2" t="str">
        <f t="shared" si="2"/>
        <v/>
      </c>
      <c r="X46" s="2">
        <f t="shared" si="3"/>
        <v>82</v>
      </c>
      <c r="Y46" s="2" t="b">
        <f>AND(ISODD(B46),ISODD(T46))</f>
        <v>0</v>
      </c>
      <c r="Z46" s="2" t="b">
        <f>AND(ISODD(B46),ISEVEN(T46))</f>
        <v>1</v>
      </c>
      <c r="AA46" s="2" t="b">
        <f>AND(ISEVEN(B46),ISODD(T46))</f>
        <v>0</v>
      </c>
      <c r="AB46" s="2" t="b">
        <f>AND(ISEVEN(B46),ISEVEN(T46))</f>
        <v>0</v>
      </c>
      <c r="AC46" s="2" t="str">
        <f>IF(AND(ISODD(B46),ISODD(T46)), B46, "")</f>
        <v/>
      </c>
      <c r="AD46" s="2">
        <f>IF(AND(ISODD(B46),ISEVEN(T46)), B46, "")</f>
        <v>45</v>
      </c>
      <c r="AE46" s="2" t="str">
        <f>IF(AND(ISEVEN(B46),ISODD(T46)), B46, "")</f>
        <v/>
      </c>
      <c r="AF46" s="2" t="str">
        <f>IF(AND(ISEVEN(B46),ISEVEN(T46)), B46, "")</f>
        <v/>
      </c>
      <c r="AG46" s="2" t="str">
        <f>IF(AND(ISODD(C46),ISODD(T46)), C46, "")</f>
        <v/>
      </c>
      <c r="AH46" s="2">
        <f>IF(AND(ISODD(C46),ISEVEN(T46)), C46, "")</f>
        <v>37</v>
      </c>
      <c r="AI46" s="2" t="str">
        <f>IF(AND(ISEVEN(C46),ISODD(T46)), C46, "")</f>
        <v/>
      </c>
      <c r="AJ46" s="2" t="str">
        <f>IF(AND(ISEVEN(C46),ISEVEN(T46)), C46, "")</f>
        <v/>
      </c>
      <c r="AK46" s="2" t="str">
        <f>IF(U46,B46, "")</f>
        <v/>
      </c>
      <c r="AL46" s="2">
        <f>IF(V46, B46, "")</f>
        <v>45</v>
      </c>
      <c r="AM46" s="2" t="str">
        <f>IF(U46, C46, "")</f>
        <v/>
      </c>
      <c r="AN46" s="2">
        <f>IF(V46, C46, "")</f>
        <v>37</v>
      </c>
    </row>
    <row r="47" spans="2:40" hidden="1" outlineLevel="1" x14ac:dyDescent="0.25">
      <c r="B47" s="2">
        <v>46</v>
      </c>
      <c r="C47" s="2">
        <v>35</v>
      </c>
      <c r="E47" s="2" t="b">
        <f>ISODD(B47)</f>
        <v>0</v>
      </c>
      <c r="F47" s="2" t="b">
        <f>ISEVEN(B47)</f>
        <v>1</v>
      </c>
      <c r="G47" s="2" t="b">
        <f>ISODD(C47)</f>
        <v>1</v>
      </c>
      <c r="H47" s="2" t="b">
        <f>ISEVEN(C47)</f>
        <v>0</v>
      </c>
      <c r="I47" s="2" t="str">
        <f>IF(E47, B47, "")</f>
        <v/>
      </c>
      <c r="J47" s="2">
        <f>IF(F47, B47, "")</f>
        <v>46</v>
      </c>
      <c r="K47" s="2">
        <f>IF(G47, C47, "")</f>
        <v>35</v>
      </c>
      <c r="L47" s="2" t="str">
        <f>IF(H47, C47, "")</f>
        <v/>
      </c>
      <c r="M47" s="2" t="b">
        <f>OR(AND(E47, G47), AND(F47, H47))</f>
        <v>0</v>
      </c>
      <c r="N47" s="2" t="b">
        <f>OR(AND(E47, H47), AND(F47, G47))</f>
        <v>1</v>
      </c>
      <c r="O47" s="2" t="b">
        <f>AND(E47, G47)</f>
        <v>0</v>
      </c>
      <c r="P47" s="2" t="b">
        <f>AND(F47, G47)</f>
        <v>1</v>
      </c>
      <c r="Q47" s="2" t="b">
        <f>AND(F47, H47)</f>
        <v>0</v>
      </c>
      <c r="R47" s="2" t="b">
        <f>AND(E47, H47)</f>
        <v>0</v>
      </c>
      <c r="T47" s="2">
        <f>SUM(B47, C47)</f>
        <v>81</v>
      </c>
      <c r="U47" s="2" t="b">
        <f t="shared" si="0"/>
        <v>1</v>
      </c>
      <c r="V47" s="2" t="b">
        <f t="shared" si="1"/>
        <v>0</v>
      </c>
      <c r="W47" s="2">
        <f t="shared" si="2"/>
        <v>81</v>
      </c>
      <c r="X47" s="2" t="str">
        <f t="shared" si="3"/>
        <v/>
      </c>
      <c r="Y47" s="2" t="b">
        <f>AND(ISODD(B47),ISODD(T47))</f>
        <v>0</v>
      </c>
      <c r="Z47" s="2" t="b">
        <f>AND(ISODD(B47),ISEVEN(T47))</f>
        <v>0</v>
      </c>
      <c r="AA47" s="2" t="b">
        <f>AND(ISEVEN(B47),ISODD(T47))</f>
        <v>1</v>
      </c>
      <c r="AB47" s="2" t="b">
        <f>AND(ISEVEN(B47),ISEVEN(T47))</f>
        <v>0</v>
      </c>
      <c r="AC47" s="2" t="str">
        <f>IF(AND(ISODD(B47),ISODD(T47)), B47, "")</f>
        <v/>
      </c>
      <c r="AD47" s="2" t="str">
        <f>IF(AND(ISODD(B47),ISEVEN(T47)), B47, "")</f>
        <v/>
      </c>
      <c r="AE47" s="2">
        <f>IF(AND(ISEVEN(B47),ISODD(T47)), B47, "")</f>
        <v>46</v>
      </c>
      <c r="AF47" s="2" t="str">
        <f>IF(AND(ISEVEN(B47),ISEVEN(T47)), B47, "")</f>
        <v/>
      </c>
      <c r="AG47" s="2">
        <f>IF(AND(ISODD(C47),ISODD(T47)), C47, "")</f>
        <v>35</v>
      </c>
      <c r="AH47" s="2" t="str">
        <f>IF(AND(ISODD(C47),ISEVEN(T47)), C47, "")</f>
        <v/>
      </c>
      <c r="AI47" s="2" t="str">
        <f>IF(AND(ISEVEN(C47),ISODD(T47)), C47, "")</f>
        <v/>
      </c>
      <c r="AJ47" s="2" t="str">
        <f>IF(AND(ISEVEN(C47),ISEVEN(T47)), C47, "")</f>
        <v/>
      </c>
      <c r="AK47" s="2">
        <f>IF(U47,B47, "")</f>
        <v>46</v>
      </c>
      <c r="AL47" s="2" t="str">
        <f>IF(V47, B47, "")</f>
        <v/>
      </c>
      <c r="AM47" s="2">
        <f>IF(U47, C47, "")</f>
        <v>35</v>
      </c>
      <c r="AN47" s="2" t="str">
        <f>IF(V47, C47, "")</f>
        <v/>
      </c>
    </row>
    <row r="48" spans="2:40" hidden="1" outlineLevel="1" x14ac:dyDescent="0.25">
      <c r="B48" s="2">
        <v>47</v>
      </c>
      <c r="C48" s="2">
        <v>38</v>
      </c>
      <c r="E48" s="2" t="b">
        <f>ISODD(B48)</f>
        <v>1</v>
      </c>
      <c r="F48" s="2" t="b">
        <f>ISEVEN(B48)</f>
        <v>0</v>
      </c>
      <c r="G48" s="2" t="b">
        <f>ISODD(C48)</f>
        <v>0</v>
      </c>
      <c r="H48" s="2" t="b">
        <f>ISEVEN(C48)</f>
        <v>1</v>
      </c>
      <c r="I48" s="2">
        <f>IF(E48, B48, "")</f>
        <v>47</v>
      </c>
      <c r="J48" s="2" t="str">
        <f>IF(F48, B48, "")</f>
        <v/>
      </c>
      <c r="K48" s="2" t="str">
        <f>IF(G48, C48, "")</f>
        <v/>
      </c>
      <c r="L48" s="2">
        <f>IF(H48, C48, "")</f>
        <v>38</v>
      </c>
      <c r="M48" s="2" t="b">
        <f>OR(AND(E48, G48), AND(F48, H48))</f>
        <v>0</v>
      </c>
      <c r="N48" s="2" t="b">
        <f>OR(AND(E48, H48), AND(F48, G48))</f>
        <v>1</v>
      </c>
      <c r="O48" s="2" t="b">
        <f>AND(E48, G48)</f>
        <v>0</v>
      </c>
      <c r="P48" s="2" t="b">
        <f>AND(F48, G48)</f>
        <v>0</v>
      </c>
      <c r="Q48" s="2" t="b">
        <f>AND(F48, H48)</f>
        <v>0</v>
      </c>
      <c r="R48" s="2" t="b">
        <f>AND(E48, H48)</f>
        <v>1</v>
      </c>
      <c r="T48" s="2">
        <f>SUM(B48, C48)</f>
        <v>85</v>
      </c>
      <c r="U48" s="2" t="b">
        <f t="shared" si="0"/>
        <v>1</v>
      </c>
      <c r="V48" s="2" t="b">
        <f t="shared" si="1"/>
        <v>0</v>
      </c>
      <c r="W48" s="2">
        <f t="shared" si="2"/>
        <v>85</v>
      </c>
      <c r="X48" s="2" t="str">
        <f t="shared" si="3"/>
        <v/>
      </c>
      <c r="Y48" s="2" t="b">
        <f>AND(ISODD(B48),ISODD(T48))</f>
        <v>1</v>
      </c>
      <c r="Z48" s="2" t="b">
        <f>AND(ISODD(B48),ISEVEN(T48))</f>
        <v>0</v>
      </c>
      <c r="AA48" s="2" t="b">
        <f>AND(ISEVEN(B48),ISODD(T48))</f>
        <v>0</v>
      </c>
      <c r="AB48" s="2" t="b">
        <f>AND(ISEVEN(B48),ISEVEN(T48))</f>
        <v>0</v>
      </c>
      <c r="AC48" s="2">
        <f>IF(AND(ISODD(B48),ISODD(T48)), B48, "")</f>
        <v>47</v>
      </c>
      <c r="AD48" s="2" t="str">
        <f>IF(AND(ISODD(B48),ISEVEN(T48)), B48, "")</f>
        <v/>
      </c>
      <c r="AE48" s="2" t="str">
        <f>IF(AND(ISEVEN(B48),ISODD(T48)), B48, "")</f>
        <v/>
      </c>
      <c r="AF48" s="2" t="str">
        <f>IF(AND(ISEVEN(B48),ISEVEN(T48)), B48, "")</f>
        <v/>
      </c>
      <c r="AG48" s="2" t="str">
        <f>IF(AND(ISODD(C48),ISODD(T48)), C48, "")</f>
        <v/>
      </c>
      <c r="AH48" s="2" t="str">
        <f>IF(AND(ISODD(C48),ISEVEN(T48)), C48, "")</f>
        <v/>
      </c>
      <c r="AI48" s="2">
        <f>IF(AND(ISEVEN(C48),ISODD(T48)), C48, "")</f>
        <v>38</v>
      </c>
      <c r="AJ48" s="2" t="str">
        <f>IF(AND(ISEVEN(C48),ISEVEN(T48)), C48, "")</f>
        <v/>
      </c>
      <c r="AK48" s="2">
        <f>IF(U48,B48, "")</f>
        <v>47</v>
      </c>
      <c r="AL48" s="2" t="str">
        <f>IF(V48, B48, "")</f>
        <v/>
      </c>
      <c r="AM48" s="2">
        <f>IF(U48, C48, "")</f>
        <v>38</v>
      </c>
      <c r="AN48" s="2" t="str">
        <f>IF(V48, C48, "")</f>
        <v/>
      </c>
    </row>
    <row r="49" spans="2:40" hidden="1" outlineLevel="1" x14ac:dyDescent="0.25">
      <c r="B49" s="2">
        <v>48</v>
      </c>
      <c r="C49" s="2">
        <v>29</v>
      </c>
      <c r="E49" s="2" t="b">
        <f>ISODD(B49)</f>
        <v>0</v>
      </c>
      <c r="F49" s="2" t="b">
        <f>ISEVEN(B49)</f>
        <v>1</v>
      </c>
      <c r="G49" s="2" t="b">
        <f>ISODD(C49)</f>
        <v>1</v>
      </c>
      <c r="H49" s="2" t="b">
        <f>ISEVEN(C49)</f>
        <v>0</v>
      </c>
      <c r="I49" s="2" t="str">
        <f>IF(E49, B49, "")</f>
        <v/>
      </c>
      <c r="J49" s="2">
        <f>IF(F49, B49, "")</f>
        <v>48</v>
      </c>
      <c r="K49" s="2">
        <f>IF(G49, C49, "")</f>
        <v>29</v>
      </c>
      <c r="L49" s="2" t="str">
        <f>IF(H49, C49, "")</f>
        <v/>
      </c>
      <c r="M49" s="2" t="b">
        <f>OR(AND(E49, G49), AND(F49, H49))</f>
        <v>0</v>
      </c>
      <c r="N49" s="2" t="b">
        <f>OR(AND(E49, H49), AND(F49, G49))</f>
        <v>1</v>
      </c>
      <c r="O49" s="2" t="b">
        <f>AND(E49, G49)</f>
        <v>0</v>
      </c>
      <c r="P49" s="2" t="b">
        <f>AND(F49, G49)</f>
        <v>1</v>
      </c>
      <c r="Q49" s="2" t="b">
        <f>AND(F49, H49)</f>
        <v>0</v>
      </c>
      <c r="R49" s="2" t="b">
        <f>AND(E49, H49)</f>
        <v>0</v>
      </c>
      <c r="T49" s="2">
        <f>SUM(B49, C49)</f>
        <v>77</v>
      </c>
      <c r="U49" s="2" t="b">
        <f t="shared" si="0"/>
        <v>1</v>
      </c>
      <c r="V49" s="2" t="b">
        <f t="shared" si="1"/>
        <v>0</v>
      </c>
      <c r="W49" s="2">
        <f t="shared" si="2"/>
        <v>77</v>
      </c>
      <c r="X49" s="2" t="str">
        <f t="shared" si="3"/>
        <v/>
      </c>
      <c r="Y49" s="2" t="b">
        <f>AND(ISODD(B49),ISODD(T49))</f>
        <v>0</v>
      </c>
      <c r="Z49" s="2" t="b">
        <f>AND(ISODD(B49),ISEVEN(T49))</f>
        <v>0</v>
      </c>
      <c r="AA49" s="2" t="b">
        <f>AND(ISEVEN(B49),ISODD(T49))</f>
        <v>1</v>
      </c>
      <c r="AB49" s="2" t="b">
        <f>AND(ISEVEN(B49),ISEVEN(T49))</f>
        <v>0</v>
      </c>
      <c r="AC49" s="2" t="str">
        <f>IF(AND(ISODD(B49),ISODD(T49)), B49, "")</f>
        <v/>
      </c>
      <c r="AD49" s="2" t="str">
        <f>IF(AND(ISODD(B49),ISEVEN(T49)), B49, "")</f>
        <v/>
      </c>
      <c r="AE49" s="2">
        <f>IF(AND(ISEVEN(B49),ISODD(T49)), B49, "")</f>
        <v>48</v>
      </c>
      <c r="AF49" s="2" t="str">
        <f>IF(AND(ISEVEN(B49),ISEVEN(T49)), B49, "")</f>
        <v/>
      </c>
      <c r="AG49" s="2">
        <f>IF(AND(ISODD(C49),ISODD(T49)), C49, "")</f>
        <v>29</v>
      </c>
      <c r="AH49" s="2" t="str">
        <f>IF(AND(ISODD(C49),ISEVEN(T49)), C49, "")</f>
        <v/>
      </c>
      <c r="AI49" s="2" t="str">
        <f>IF(AND(ISEVEN(C49),ISODD(T49)), C49, "")</f>
        <v/>
      </c>
      <c r="AJ49" s="2" t="str">
        <f>IF(AND(ISEVEN(C49),ISEVEN(T49)), C49, "")</f>
        <v/>
      </c>
      <c r="AK49" s="2">
        <f>IF(U49,B49, "")</f>
        <v>48</v>
      </c>
      <c r="AL49" s="2" t="str">
        <f>IF(V49, B49, "")</f>
        <v/>
      </c>
      <c r="AM49" s="2">
        <f>IF(U49, C49, "")</f>
        <v>29</v>
      </c>
      <c r="AN49" s="2" t="str">
        <f>IF(V49, C49, "")</f>
        <v/>
      </c>
    </row>
    <row r="50" spans="2:40" hidden="1" outlineLevel="1" x14ac:dyDescent="0.25">
      <c r="B50" s="2">
        <v>49</v>
      </c>
      <c r="C50" s="2">
        <v>18</v>
      </c>
      <c r="E50" s="2" t="b">
        <f>ISODD(B50)</f>
        <v>1</v>
      </c>
      <c r="F50" s="2" t="b">
        <f>ISEVEN(B50)</f>
        <v>0</v>
      </c>
      <c r="G50" s="2" t="b">
        <f>ISODD(C50)</f>
        <v>0</v>
      </c>
      <c r="H50" s="2" t="b">
        <f>ISEVEN(C50)</f>
        <v>1</v>
      </c>
      <c r="I50" s="2">
        <f>IF(E50, B50, "")</f>
        <v>49</v>
      </c>
      <c r="J50" s="2" t="str">
        <f>IF(F50, B50, "")</f>
        <v/>
      </c>
      <c r="K50" s="2" t="str">
        <f>IF(G50, C50, "")</f>
        <v/>
      </c>
      <c r="L50" s="2">
        <f>IF(H50, C50, "")</f>
        <v>18</v>
      </c>
      <c r="M50" s="2" t="b">
        <f>OR(AND(E50, G50), AND(F50, H50))</f>
        <v>0</v>
      </c>
      <c r="N50" s="2" t="b">
        <f>OR(AND(E50, H50), AND(F50, G50))</f>
        <v>1</v>
      </c>
      <c r="O50" s="2" t="b">
        <f>AND(E50, G50)</f>
        <v>0</v>
      </c>
      <c r="P50" s="2" t="b">
        <f>AND(F50, G50)</f>
        <v>0</v>
      </c>
      <c r="Q50" s="2" t="b">
        <f>AND(F50, H50)</f>
        <v>0</v>
      </c>
      <c r="R50" s="2" t="b">
        <f>AND(E50, H50)</f>
        <v>1</v>
      </c>
      <c r="T50" s="2">
        <f>SUM(B50, C50)</f>
        <v>67</v>
      </c>
      <c r="U50" s="2" t="b">
        <f t="shared" si="0"/>
        <v>1</v>
      </c>
      <c r="V50" s="2" t="b">
        <f t="shared" si="1"/>
        <v>0</v>
      </c>
      <c r="W50" s="2">
        <f t="shared" si="2"/>
        <v>67</v>
      </c>
      <c r="X50" s="2" t="str">
        <f t="shared" si="3"/>
        <v/>
      </c>
      <c r="Y50" s="2" t="b">
        <f>AND(ISODD(B50),ISODD(T50))</f>
        <v>1</v>
      </c>
      <c r="Z50" s="2" t="b">
        <f>AND(ISODD(B50),ISEVEN(T50))</f>
        <v>0</v>
      </c>
      <c r="AA50" s="2" t="b">
        <f>AND(ISEVEN(B50),ISODD(T50))</f>
        <v>0</v>
      </c>
      <c r="AB50" s="2" t="b">
        <f>AND(ISEVEN(B50),ISEVEN(T50))</f>
        <v>0</v>
      </c>
      <c r="AC50" s="2">
        <f>IF(AND(ISODD(B50),ISODD(T50)), B50, "")</f>
        <v>49</v>
      </c>
      <c r="AD50" s="2" t="str">
        <f>IF(AND(ISODD(B50),ISEVEN(T50)), B50, "")</f>
        <v/>
      </c>
      <c r="AE50" s="2" t="str">
        <f>IF(AND(ISEVEN(B50),ISODD(T50)), B50, "")</f>
        <v/>
      </c>
      <c r="AF50" s="2" t="str">
        <f>IF(AND(ISEVEN(B50),ISEVEN(T50)), B50, "")</f>
        <v/>
      </c>
      <c r="AG50" s="2" t="str">
        <f>IF(AND(ISODD(C50),ISODD(T50)), C50, "")</f>
        <v/>
      </c>
      <c r="AH50" s="2" t="str">
        <f>IF(AND(ISODD(C50),ISEVEN(T50)), C50, "")</f>
        <v/>
      </c>
      <c r="AI50" s="2">
        <f>IF(AND(ISEVEN(C50),ISODD(T50)), C50, "")</f>
        <v>18</v>
      </c>
      <c r="AJ50" s="2" t="str">
        <f>IF(AND(ISEVEN(C50),ISEVEN(T50)), C50, "")</f>
        <v/>
      </c>
      <c r="AK50" s="2">
        <f>IF(U50,B50, "")</f>
        <v>49</v>
      </c>
      <c r="AL50" s="2" t="str">
        <f>IF(V50, B50, "")</f>
        <v/>
      </c>
      <c r="AM50" s="2">
        <f>IF(U50, C50, "")</f>
        <v>18</v>
      </c>
      <c r="AN50" s="2" t="str">
        <f>IF(V50, C50, "")</f>
        <v/>
      </c>
    </row>
    <row r="51" spans="2:40" hidden="1" outlineLevel="1" x14ac:dyDescent="0.25">
      <c r="B51" s="2">
        <v>50</v>
      </c>
      <c r="C51" s="2">
        <v>45</v>
      </c>
      <c r="E51" s="2" t="b">
        <f>ISODD(B51)</f>
        <v>0</v>
      </c>
      <c r="F51" s="2" t="b">
        <f>ISEVEN(B51)</f>
        <v>1</v>
      </c>
      <c r="G51" s="2" t="b">
        <f>ISODD(C51)</f>
        <v>1</v>
      </c>
      <c r="H51" s="2" t="b">
        <f>ISEVEN(C51)</f>
        <v>0</v>
      </c>
      <c r="I51" s="2" t="str">
        <f>IF(E51, B51, "")</f>
        <v/>
      </c>
      <c r="J51" s="2">
        <f>IF(F51, B51, "")</f>
        <v>50</v>
      </c>
      <c r="K51" s="2">
        <f>IF(G51, C51, "")</f>
        <v>45</v>
      </c>
      <c r="L51" s="2" t="str">
        <f>IF(H51, C51, "")</f>
        <v/>
      </c>
      <c r="M51" s="2" t="b">
        <f>OR(AND(E51, G51), AND(F51, H51))</f>
        <v>0</v>
      </c>
      <c r="N51" s="2" t="b">
        <f>OR(AND(E51, H51), AND(F51, G51))</f>
        <v>1</v>
      </c>
      <c r="O51" s="2" t="b">
        <f>AND(E51, G51)</f>
        <v>0</v>
      </c>
      <c r="P51" s="2" t="b">
        <f>AND(F51, G51)</f>
        <v>1</v>
      </c>
      <c r="Q51" s="2" t="b">
        <f>AND(F51, H51)</f>
        <v>0</v>
      </c>
      <c r="R51" s="2" t="b">
        <f>AND(E51, H51)</f>
        <v>0</v>
      </c>
      <c r="T51" s="2">
        <f>SUM(B51, C51)</f>
        <v>95</v>
      </c>
      <c r="U51" s="2" t="b">
        <f t="shared" si="0"/>
        <v>1</v>
      </c>
      <c r="V51" s="2" t="b">
        <f t="shared" si="1"/>
        <v>0</v>
      </c>
      <c r="W51" s="2">
        <f t="shared" si="2"/>
        <v>95</v>
      </c>
      <c r="X51" s="2" t="str">
        <f t="shared" si="3"/>
        <v/>
      </c>
      <c r="Y51" s="2" t="b">
        <f>AND(ISODD(B51),ISODD(T51))</f>
        <v>0</v>
      </c>
      <c r="Z51" s="2" t="b">
        <f>AND(ISODD(B51),ISEVEN(T51))</f>
        <v>0</v>
      </c>
      <c r="AA51" s="2" t="b">
        <f>AND(ISEVEN(B51),ISODD(T51))</f>
        <v>1</v>
      </c>
      <c r="AB51" s="2" t="b">
        <f>AND(ISEVEN(B51),ISEVEN(T51))</f>
        <v>0</v>
      </c>
      <c r="AC51" s="2" t="str">
        <f>IF(AND(ISODD(B51),ISODD(T51)), B51, "")</f>
        <v/>
      </c>
      <c r="AD51" s="2" t="str">
        <f>IF(AND(ISODD(B51),ISEVEN(T51)), B51, "")</f>
        <v/>
      </c>
      <c r="AE51" s="2">
        <f>IF(AND(ISEVEN(B51),ISODD(T51)), B51, "")</f>
        <v>50</v>
      </c>
      <c r="AF51" s="2" t="str">
        <f>IF(AND(ISEVEN(B51),ISEVEN(T51)), B51, "")</f>
        <v/>
      </c>
      <c r="AG51" s="2">
        <f>IF(AND(ISODD(C51),ISODD(T51)), C51, "")</f>
        <v>45</v>
      </c>
      <c r="AH51" s="2" t="str">
        <f>IF(AND(ISODD(C51),ISEVEN(T51)), C51, "")</f>
        <v/>
      </c>
      <c r="AI51" s="2" t="str">
        <f>IF(AND(ISEVEN(C51),ISODD(T51)), C51, "")</f>
        <v/>
      </c>
      <c r="AJ51" s="2" t="str">
        <f>IF(AND(ISEVEN(C51),ISEVEN(T51)), C51, "")</f>
        <v/>
      </c>
      <c r="AK51" s="2">
        <f>IF(U51,B51, "")</f>
        <v>50</v>
      </c>
      <c r="AL51" s="2" t="str">
        <f>IF(V51, B51, "")</f>
        <v/>
      </c>
      <c r="AM51" s="2">
        <f>IF(U51, C51, "")</f>
        <v>45</v>
      </c>
      <c r="AN51" s="2" t="str">
        <f>IF(V51, C51, "")</f>
        <v/>
      </c>
    </row>
    <row r="52" spans="2:40" hidden="1" outlineLevel="1" x14ac:dyDescent="0.25">
      <c r="B52" s="2">
        <v>51</v>
      </c>
      <c r="C52" s="2">
        <v>60</v>
      </c>
      <c r="E52" s="2" t="b">
        <f>ISODD(B52)</f>
        <v>1</v>
      </c>
      <c r="F52" s="2" t="b">
        <f>ISEVEN(B52)</f>
        <v>0</v>
      </c>
      <c r="G52" s="2" t="b">
        <f>ISODD(C52)</f>
        <v>0</v>
      </c>
      <c r="H52" s="2" t="b">
        <f>ISEVEN(C52)</f>
        <v>1</v>
      </c>
      <c r="I52" s="2">
        <f>IF(E52, B52, "")</f>
        <v>51</v>
      </c>
      <c r="J52" s="2" t="str">
        <f>IF(F52, B52, "")</f>
        <v/>
      </c>
      <c r="K52" s="2" t="str">
        <f>IF(G52, C52, "")</f>
        <v/>
      </c>
      <c r="L52" s="2">
        <f>IF(H52, C52, "")</f>
        <v>60</v>
      </c>
      <c r="M52" s="2" t="b">
        <f>OR(AND(E52, G52), AND(F52, H52))</f>
        <v>0</v>
      </c>
      <c r="N52" s="2" t="b">
        <f>OR(AND(E52, H52), AND(F52, G52))</f>
        <v>1</v>
      </c>
      <c r="O52" s="2" t="b">
        <f>AND(E52, G52)</f>
        <v>0</v>
      </c>
      <c r="P52" s="2" t="b">
        <f>AND(F52, G52)</f>
        <v>0</v>
      </c>
      <c r="Q52" s="2" t="b">
        <f>AND(F52, H52)</f>
        <v>0</v>
      </c>
      <c r="R52" s="2" t="b">
        <f>AND(E52, H52)</f>
        <v>1</v>
      </c>
      <c r="T52" s="2">
        <f>SUM(B52, C52)</f>
        <v>111</v>
      </c>
      <c r="U52" s="2" t="b">
        <f t="shared" si="0"/>
        <v>1</v>
      </c>
      <c r="V52" s="2" t="b">
        <f t="shared" si="1"/>
        <v>0</v>
      </c>
      <c r="W52" s="2">
        <f t="shared" si="2"/>
        <v>111</v>
      </c>
      <c r="X52" s="2" t="str">
        <f t="shared" si="3"/>
        <v/>
      </c>
      <c r="Y52" s="2" t="b">
        <f>AND(ISODD(B52),ISODD(T52))</f>
        <v>1</v>
      </c>
      <c r="Z52" s="2" t="b">
        <f>AND(ISODD(B52),ISEVEN(T52))</f>
        <v>0</v>
      </c>
      <c r="AA52" s="2" t="b">
        <f>AND(ISEVEN(B52),ISODD(T52))</f>
        <v>0</v>
      </c>
      <c r="AB52" s="2" t="b">
        <f>AND(ISEVEN(B52),ISEVEN(T52))</f>
        <v>0</v>
      </c>
      <c r="AC52" s="2">
        <f>IF(AND(ISODD(B52),ISODD(T52)), B52, "")</f>
        <v>51</v>
      </c>
      <c r="AD52" s="2" t="str">
        <f>IF(AND(ISODD(B52),ISEVEN(T52)), B52, "")</f>
        <v/>
      </c>
      <c r="AE52" s="2" t="str">
        <f>IF(AND(ISEVEN(B52),ISODD(T52)), B52, "")</f>
        <v/>
      </c>
      <c r="AF52" s="2" t="str">
        <f>IF(AND(ISEVEN(B52),ISEVEN(T52)), B52, "")</f>
        <v/>
      </c>
      <c r="AG52" s="2" t="str">
        <f>IF(AND(ISODD(C52),ISODD(T52)), C52, "")</f>
        <v/>
      </c>
      <c r="AH52" s="2" t="str">
        <f>IF(AND(ISODD(C52),ISEVEN(T52)), C52, "")</f>
        <v/>
      </c>
      <c r="AI52" s="2">
        <f>IF(AND(ISEVEN(C52),ISODD(T52)), C52, "")</f>
        <v>60</v>
      </c>
      <c r="AJ52" s="2" t="str">
        <f>IF(AND(ISEVEN(C52),ISEVEN(T52)), C52, "")</f>
        <v/>
      </c>
      <c r="AK52" s="2">
        <f>IF(U52,B52, "")</f>
        <v>51</v>
      </c>
      <c r="AL52" s="2" t="str">
        <f>IF(V52, B52, "")</f>
        <v/>
      </c>
      <c r="AM52" s="2">
        <f>IF(U52, C52, "")</f>
        <v>60</v>
      </c>
      <c r="AN52" s="2" t="str">
        <f>IF(V52, C52, "")</f>
        <v/>
      </c>
    </row>
    <row r="53" spans="2:40" hidden="1" outlineLevel="1" x14ac:dyDescent="0.25">
      <c r="B53" s="2">
        <v>52</v>
      </c>
      <c r="C53" s="2">
        <v>49</v>
      </c>
      <c r="E53" s="2" t="b">
        <f>ISODD(B53)</f>
        <v>0</v>
      </c>
      <c r="F53" s="2" t="b">
        <f>ISEVEN(B53)</f>
        <v>1</v>
      </c>
      <c r="G53" s="2" t="b">
        <f>ISODD(C53)</f>
        <v>1</v>
      </c>
      <c r="H53" s="2" t="b">
        <f>ISEVEN(C53)</f>
        <v>0</v>
      </c>
      <c r="I53" s="2" t="str">
        <f>IF(E53, B53, "")</f>
        <v/>
      </c>
      <c r="J53" s="2">
        <f>IF(F53, B53, "")</f>
        <v>52</v>
      </c>
      <c r="K53" s="2">
        <f>IF(G53, C53, "")</f>
        <v>49</v>
      </c>
      <c r="L53" s="2" t="str">
        <f>IF(H53, C53, "")</f>
        <v/>
      </c>
      <c r="M53" s="2" t="b">
        <f>OR(AND(E53, G53), AND(F53, H53))</f>
        <v>0</v>
      </c>
      <c r="N53" s="2" t="b">
        <f>OR(AND(E53, H53), AND(F53, G53))</f>
        <v>1</v>
      </c>
      <c r="O53" s="2" t="b">
        <f>AND(E53, G53)</f>
        <v>0</v>
      </c>
      <c r="P53" s="2" t="b">
        <f>AND(F53, G53)</f>
        <v>1</v>
      </c>
      <c r="Q53" s="2" t="b">
        <f>AND(F53, H53)</f>
        <v>0</v>
      </c>
      <c r="R53" s="2" t="b">
        <f>AND(E53, H53)</f>
        <v>0</v>
      </c>
      <c r="T53" s="2">
        <f>SUM(B53, C53)</f>
        <v>101</v>
      </c>
      <c r="U53" s="2" t="b">
        <f t="shared" si="0"/>
        <v>1</v>
      </c>
      <c r="V53" s="2" t="b">
        <f t="shared" si="1"/>
        <v>0</v>
      </c>
      <c r="W53" s="2">
        <f t="shared" si="2"/>
        <v>101</v>
      </c>
      <c r="X53" s="2" t="str">
        <f t="shared" si="3"/>
        <v/>
      </c>
      <c r="Y53" s="2" t="b">
        <f>AND(ISODD(B53),ISODD(T53))</f>
        <v>0</v>
      </c>
      <c r="Z53" s="2" t="b">
        <f>AND(ISODD(B53),ISEVEN(T53))</f>
        <v>0</v>
      </c>
      <c r="AA53" s="2" t="b">
        <f>AND(ISEVEN(B53),ISODD(T53))</f>
        <v>1</v>
      </c>
      <c r="AB53" s="2" t="b">
        <f>AND(ISEVEN(B53),ISEVEN(T53))</f>
        <v>0</v>
      </c>
      <c r="AC53" s="2" t="str">
        <f>IF(AND(ISODD(B53),ISODD(T53)), B53, "")</f>
        <v/>
      </c>
      <c r="AD53" s="2" t="str">
        <f>IF(AND(ISODD(B53),ISEVEN(T53)), B53, "")</f>
        <v/>
      </c>
      <c r="AE53" s="2">
        <f>IF(AND(ISEVEN(B53),ISODD(T53)), B53, "")</f>
        <v>52</v>
      </c>
      <c r="AF53" s="2" t="str">
        <f>IF(AND(ISEVEN(B53),ISEVEN(T53)), B53, "")</f>
        <v/>
      </c>
      <c r="AG53" s="2">
        <f>IF(AND(ISODD(C53),ISODD(T53)), C53, "")</f>
        <v>49</v>
      </c>
      <c r="AH53" s="2" t="str">
        <f>IF(AND(ISODD(C53),ISEVEN(T53)), C53, "")</f>
        <v/>
      </c>
      <c r="AI53" s="2" t="str">
        <f>IF(AND(ISEVEN(C53),ISODD(T53)), C53, "")</f>
        <v/>
      </c>
      <c r="AJ53" s="2" t="str">
        <f>IF(AND(ISEVEN(C53),ISEVEN(T53)), C53, "")</f>
        <v/>
      </c>
      <c r="AK53" s="2">
        <f>IF(U53,B53, "")</f>
        <v>52</v>
      </c>
      <c r="AL53" s="2" t="str">
        <f>IF(V53, B53, "")</f>
        <v/>
      </c>
      <c r="AM53" s="2">
        <f>IF(U53, C53, "")</f>
        <v>49</v>
      </c>
      <c r="AN53" s="2" t="str">
        <f>IF(V53, C53, "")</f>
        <v/>
      </c>
    </row>
    <row r="54" spans="2:40" hidden="1" outlineLevel="1" x14ac:dyDescent="0.25">
      <c r="B54" s="2">
        <v>53</v>
      </c>
      <c r="C54" s="2">
        <v>62</v>
      </c>
      <c r="E54" s="2" t="b">
        <f>ISODD(B54)</f>
        <v>1</v>
      </c>
      <c r="F54" s="2" t="b">
        <f>ISEVEN(B54)</f>
        <v>0</v>
      </c>
      <c r="G54" s="2" t="b">
        <f>ISODD(C54)</f>
        <v>0</v>
      </c>
      <c r="H54" s="2" t="b">
        <f>ISEVEN(C54)</f>
        <v>1</v>
      </c>
      <c r="I54" s="2">
        <f>IF(E54, B54, "")</f>
        <v>53</v>
      </c>
      <c r="J54" s="2" t="str">
        <f>IF(F54, B54, "")</f>
        <v/>
      </c>
      <c r="K54" s="2" t="str">
        <f>IF(G54, C54, "")</f>
        <v/>
      </c>
      <c r="L54" s="2">
        <f>IF(H54, C54, "")</f>
        <v>62</v>
      </c>
      <c r="M54" s="2" t="b">
        <f>OR(AND(E54, G54), AND(F54, H54))</f>
        <v>0</v>
      </c>
      <c r="N54" s="2" t="b">
        <f>OR(AND(E54, H54), AND(F54, G54))</f>
        <v>1</v>
      </c>
      <c r="O54" s="2" t="b">
        <f>AND(E54, G54)</f>
        <v>0</v>
      </c>
      <c r="P54" s="2" t="b">
        <f>AND(F54, G54)</f>
        <v>0</v>
      </c>
      <c r="Q54" s="2" t="b">
        <f>AND(F54, H54)</f>
        <v>0</v>
      </c>
      <c r="R54" s="2" t="b">
        <f>AND(E54, H54)</f>
        <v>1</v>
      </c>
      <c r="T54" s="2">
        <f>SUM(B54, C54)</f>
        <v>115</v>
      </c>
      <c r="U54" s="2" t="b">
        <f t="shared" si="0"/>
        <v>1</v>
      </c>
      <c r="V54" s="2" t="b">
        <f t="shared" si="1"/>
        <v>0</v>
      </c>
      <c r="W54" s="2">
        <f t="shared" si="2"/>
        <v>115</v>
      </c>
      <c r="X54" s="2" t="str">
        <f t="shared" si="3"/>
        <v/>
      </c>
      <c r="Y54" s="2" t="b">
        <f>AND(ISODD(B54),ISODD(T54))</f>
        <v>1</v>
      </c>
      <c r="Z54" s="2" t="b">
        <f>AND(ISODD(B54),ISEVEN(T54))</f>
        <v>0</v>
      </c>
      <c r="AA54" s="2" t="b">
        <f>AND(ISEVEN(B54),ISODD(T54))</f>
        <v>0</v>
      </c>
      <c r="AB54" s="2" t="b">
        <f>AND(ISEVEN(B54),ISEVEN(T54))</f>
        <v>0</v>
      </c>
      <c r="AC54" s="2">
        <f>IF(AND(ISODD(B54),ISODD(T54)), B54, "")</f>
        <v>53</v>
      </c>
      <c r="AD54" s="2" t="str">
        <f>IF(AND(ISODD(B54),ISEVEN(T54)), B54, "")</f>
        <v/>
      </c>
      <c r="AE54" s="2" t="str">
        <f>IF(AND(ISEVEN(B54),ISODD(T54)), B54, "")</f>
        <v/>
      </c>
      <c r="AF54" s="2" t="str">
        <f>IF(AND(ISEVEN(B54),ISEVEN(T54)), B54, "")</f>
        <v/>
      </c>
      <c r="AG54" s="2" t="str">
        <f>IF(AND(ISODD(C54),ISODD(T54)), C54, "")</f>
        <v/>
      </c>
      <c r="AH54" s="2" t="str">
        <f>IF(AND(ISODD(C54),ISEVEN(T54)), C54, "")</f>
        <v/>
      </c>
      <c r="AI54" s="2">
        <f>IF(AND(ISEVEN(C54),ISODD(T54)), C54, "")</f>
        <v>62</v>
      </c>
      <c r="AJ54" s="2" t="str">
        <f>IF(AND(ISEVEN(C54),ISEVEN(T54)), C54, "")</f>
        <v/>
      </c>
      <c r="AK54" s="2">
        <f>IF(U54,B54, "")</f>
        <v>53</v>
      </c>
      <c r="AL54" s="2" t="str">
        <f>IF(V54, B54, "")</f>
        <v/>
      </c>
      <c r="AM54" s="2">
        <f>IF(U54, C54, "")</f>
        <v>62</v>
      </c>
      <c r="AN54" s="2" t="str">
        <f>IF(V54, C54, "")</f>
        <v/>
      </c>
    </row>
    <row r="55" spans="2:40" hidden="1" outlineLevel="1" x14ac:dyDescent="0.25">
      <c r="B55" s="2">
        <v>54</v>
      </c>
      <c r="C55" s="2">
        <v>55</v>
      </c>
      <c r="E55" s="2" t="b">
        <f>ISODD(B55)</f>
        <v>0</v>
      </c>
      <c r="F55" s="2" t="b">
        <f>ISEVEN(B55)</f>
        <v>1</v>
      </c>
      <c r="G55" s="2" t="b">
        <f>ISODD(C55)</f>
        <v>1</v>
      </c>
      <c r="H55" s="2" t="b">
        <f>ISEVEN(C55)</f>
        <v>0</v>
      </c>
      <c r="I55" s="2" t="str">
        <f>IF(E55, B55, "")</f>
        <v/>
      </c>
      <c r="J55" s="2">
        <f>IF(F55, B55, "")</f>
        <v>54</v>
      </c>
      <c r="K55" s="2">
        <f>IF(G55, C55, "")</f>
        <v>55</v>
      </c>
      <c r="L55" s="2" t="str">
        <f>IF(H55, C55, "")</f>
        <v/>
      </c>
      <c r="M55" s="2" t="b">
        <f>OR(AND(E55, G55), AND(F55, H55))</f>
        <v>0</v>
      </c>
      <c r="N55" s="2" t="b">
        <f>OR(AND(E55, H55), AND(F55, G55))</f>
        <v>1</v>
      </c>
      <c r="O55" s="2" t="b">
        <f>AND(E55, G55)</f>
        <v>0</v>
      </c>
      <c r="P55" s="2" t="b">
        <f>AND(F55, G55)</f>
        <v>1</v>
      </c>
      <c r="Q55" s="2" t="b">
        <f>AND(F55, H55)</f>
        <v>0</v>
      </c>
      <c r="R55" s="2" t="b">
        <f>AND(E55, H55)</f>
        <v>0</v>
      </c>
      <c r="T55" s="2">
        <f>SUM(B55, C55)</f>
        <v>109</v>
      </c>
      <c r="U55" s="2" t="b">
        <f t="shared" si="0"/>
        <v>1</v>
      </c>
      <c r="V55" s="2" t="b">
        <f t="shared" si="1"/>
        <v>0</v>
      </c>
      <c r="W55" s="2">
        <f t="shared" si="2"/>
        <v>109</v>
      </c>
      <c r="X55" s="2" t="str">
        <f t="shared" si="3"/>
        <v/>
      </c>
      <c r="Y55" s="2" t="b">
        <f>AND(ISODD(B55),ISODD(T55))</f>
        <v>0</v>
      </c>
      <c r="Z55" s="2" t="b">
        <f>AND(ISODD(B55),ISEVEN(T55))</f>
        <v>0</v>
      </c>
      <c r="AA55" s="2" t="b">
        <f>AND(ISEVEN(B55),ISODD(T55))</f>
        <v>1</v>
      </c>
      <c r="AB55" s="2" t="b">
        <f>AND(ISEVEN(B55),ISEVEN(T55))</f>
        <v>0</v>
      </c>
      <c r="AC55" s="2" t="str">
        <f>IF(AND(ISODD(B55),ISODD(T55)), B55, "")</f>
        <v/>
      </c>
      <c r="AD55" s="2" t="str">
        <f>IF(AND(ISODD(B55),ISEVEN(T55)), B55, "")</f>
        <v/>
      </c>
      <c r="AE55" s="2">
        <f>IF(AND(ISEVEN(B55),ISODD(T55)), B55, "")</f>
        <v>54</v>
      </c>
      <c r="AF55" s="2" t="str">
        <f>IF(AND(ISEVEN(B55),ISEVEN(T55)), B55, "")</f>
        <v/>
      </c>
      <c r="AG55" s="2">
        <f>IF(AND(ISODD(C55),ISODD(T55)), C55, "")</f>
        <v>55</v>
      </c>
      <c r="AH55" s="2" t="str">
        <f>IF(AND(ISODD(C55),ISEVEN(T55)), C55, "")</f>
        <v/>
      </c>
      <c r="AI55" s="2" t="str">
        <f>IF(AND(ISEVEN(C55),ISODD(T55)), C55, "")</f>
        <v/>
      </c>
      <c r="AJ55" s="2" t="str">
        <f>IF(AND(ISEVEN(C55),ISEVEN(T55)), C55, "")</f>
        <v/>
      </c>
      <c r="AK55" s="2">
        <f>IF(U55,B55, "")</f>
        <v>54</v>
      </c>
      <c r="AL55" s="2" t="str">
        <f>IF(V55, B55, "")</f>
        <v/>
      </c>
      <c r="AM55" s="2">
        <f>IF(U55, C55, "")</f>
        <v>55</v>
      </c>
      <c r="AN55" s="2" t="str">
        <f>IF(V55, C55, "")</f>
        <v/>
      </c>
    </row>
    <row r="56" spans="2:40" hidden="1" outlineLevel="1" x14ac:dyDescent="0.25">
      <c r="B56" s="2">
        <v>55</v>
      </c>
      <c r="C56" s="2">
        <v>78</v>
      </c>
      <c r="E56" s="2" t="b">
        <f>ISODD(B56)</f>
        <v>1</v>
      </c>
      <c r="F56" s="2" t="b">
        <f>ISEVEN(B56)</f>
        <v>0</v>
      </c>
      <c r="G56" s="2" t="b">
        <f>ISODD(C56)</f>
        <v>0</v>
      </c>
      <c r="H56" s="2" t="b">
        <f>ISEVEN(C56)</f>
        <v>1</v>
      </c>
      <c r="I56" s="2">
        <f>IF(E56, B56, "")</f>
        <v>55</v>
      </c>
      <c r="J56" s="2" t="str">
        <f>IF(F56, B56, "")</f>
        <v/>
      </c>
      <c r="K56" s="2" t="str">
        <f>IF(G56, C56, "")</f>
        <v/>
      </c>
      <c r="L56" s="2">
        <f>IF(H56, C56, "")</f>
        <v>78</v>
      </c>
      <c r="M56" s="2" t="b">
        <f>OR(AND(E56, G56), AND(F56, H56))</f>
        <v>0</v>
      </c>
      <c r="N56" s="2" t="b">
        <f>OR(AND(E56, H56), AND(F56, G56))</f>
        <v>1</v>
      </c>
      <c r="O56" s="2" t="b">
        <f>AND(E56, G56)</f>
        <v>0</v>
      </c>
      <c r="P56" s="2" t="b">
        <f>AND(F56, G56)</f>
        <v>0</v>
      </c>
      <c r="Q56" s="2" t="b">
        <f>AND(F56, H56)</f>
        <v>0</v>
      </c>
      <c r="R56" s="2" t="b">
        <f>AND(E56, H56)</f>
        <v>1</v>
      </c>
      <c r="T56" s="2">
        <f>SUM(B56, C56)</f>
        <v>133</v>
      </c>
      <c r="U56" s="2" t="b">
        <f t="shared" si="0"/>
        <v>1</v>
      </c>
      <c r="V56" s="2" t="b">
        <f t="shared" si="1"/>
        <v>0</v>
      </c>
      <c r="W56" s="2">
        <f t="shared" si="2"/>
        <v>133</v>
      </c>
      <c r="X56" s="2" t="str">
        <f t="shared" si="3"/>
        <v/>
      </c>
      <c r="Y56" s="2" t="b">
        <f>AND(ISODD(B56),ISODD(T56))</f>
        <v>1</v>
      </c>
      <c r="Z56" s="2" t="b">
        <f>AND(ISODD(B56),ISEVEN(T56))</f>
        <v>0</v>
      </c>
      <c r="AA56" s="2" t="b">
        <f>AND(ISEVEN(B56),ISODD(T56))</f>
        <v>0</v>
      </c>
      <c r="AB56" s="2" t="b">
        <f>AND(ISEVEN(B56),ISEVEN(T56))</f>
        <v>0</v>
      </c>
      <c r="AC56" s="2">
        <f>IF(AND(ISODD(B56),ISODD(T56)), B56, "")</f>
        <v>55</v>
      </c>
      <c r="AD56" s="2" t="str">
        <f>IF(AND(ISODD(B56),ISEVEN(T56)), B56, "")</f>
        <v/>
      </c>
      <c r="AE56" s="2" t="str">
        <f>IF(AND(ISEVEN(B56),ISODD(T56)), B56, "")</f>
        <v/>
      </c>
      <c r="AF56" s="2" t="str">
        <f>IF(AND(ISEVEN(B56),ISEVEN(T56)), B56, "")</f>
        <v/>
      </c>
      <c r="AG56" s="2" t="str">
        <f>IF(AND(ISODD(C56),ISODD(T56)), C56, "")</f>
        <v/>
      </c>
      <c r="AH56" s="2" t="str">
        <f>IF(AND(ISODD(C56),ISEVEN(T56)), C56, "")</f>
        <v/>
      </c>
      <c r="AI56" s="2">
        <f>IF(AND(ISEVEN(C56),ISODD(T56)), C56, "")</f>
        <v>78</v>
      </c>
      <c r="AJ56" s="2" t="str">
        <f>IF(AND(ISEVEN(C56),ISEVEN(T56)), C56, "")</f>
        <v/>
      </c>
      <c r="AK56" s="2">
        <f>IF(U56,B56, "")</f>
        <v>55</v>
      </c>
      <c r="AL56" s="2" t="str">
        <f>IF(V56, B56, "")</f>
        <v/>
      </c>
      <c r="AM56" s="2">
        <f>IF(U56, C56, "")</f>
        <v>78</v>
      </c>
      <c r="AN56" s="2" t="str">
        <f>IF(V56, C56, "")</f>
        <v/>
      </c>
    </row>
    <row r="57" spans="2:40" hidden="1" outlineLevel="1" x14ac:dyDescent="0.25">
      <c r="B57" s="2">
        <v>56</v>
      </c>
      <c r="C57" s="2">
        <v>96</v>
      </c>
      <c r="E57" s="2" t="b">
        <f>ISODD(B57)</f>
        <v>0</v>
      </c>
      <c r="F57" s="2" t="b">
        <f>ISEVEN(B57)</f>
        <v>1</v>
      </c>
      <c r="G57" s="2" t="b">
        <f>ISODD(C57)</f>
        <v>0</v>
      </c>
      <c r="H57" s="2" t="b">
        <f>ISEVEN(C57)</f>
        <v>1</v>
      </c>
      <c r="I57" s="2" t="str">
        <f>IF(E57, B57, "")</f>
        <v/>
      </c>
      <c r="J57" s="2">
        <f>IF(F57, B57, "")</f>
        <v>56</v>
      </c>
      <c r="K57" s="2" t="str">
        <f>IF(G57, C57, "")</f>
        <v/>
      </c>
      <c r="L57" s="2">
        <f>IF(H57, C57, "")</f>
        <v>96</v>
      </c>
      <c r="M57" s="2" t="b">
        <f>OR(AND(E57, G57), AND(F57, H57))</f>
        <v>1</v>
      </c>
      <c r="N57" s="2" t="b">
        <f>OR(AND(E57, H57), AND(F57, G57))</f>
        <v>0</v>
      </c>
      <c r="O57" s="2" t="b">
        <f>AND(E57, G57)</f>
        <v>0</v>
      </c>
      <c r="P57" s="2" t="b">
        <f>AND(F57, G57)</f>
        <v>0</v>
      </c>
      <c r="Q57" s="2" t="b">
        <f>AND(F57, H57)</f>
        <v>1</v>
      </c>
      <c r="R57" s="2" t="b">
        <f>AND(E57, H57)</f>
        <v>0</v>
      </c>
      <c r="T57" s="2">
        <f>SUM(B57, C57)</f>
        <v>152</v>
      </c>
      <c r="U57" s="2" t="b">
        <f t="shared" si="0"/>
        <v>0</v>
      </c>
      <c r="V57" s="2" t="b">
        <f t="shared" si="1"/>
        <v>1</v>
      </c>
      <c r="W57" s="2" t="str">
        <f t="shared" si="2"/>
        <v/>
      </c>
      <c r="X57" s="2">
        <f t="shared" si="3"/>
        <v>152</v>
      </c>
      <c r="Y57" s="2" t="b">
        <f>AND(ISODD(B57),ISODD(T57))</f>
        <v>0</v>
      </c>
      <c r="Z57" s="2" t="b">
        <f>AND(ISODD(B57),ISEVEN(T57))</f>
        <v>0</v>
      </c>
      <c r="AA57" s="2" t="b">
        <f>AND(ISEVEN(B57),ISODD(T57))</f>
        <v>0</v>
      </c>
      <c r="AB57" s="2" t="b">
        <f>AND(ISEVEN(B57),ISEVEN(T57))</f>
        <v>1</v>
      </c>
      <c r="AC57" s="2" t="str">
        <f>IF(AND(ISODD(B57),ISODD(T57)), B57, "")</f>
        <v/>
      </c>
      <c r="AD57" s="2" t="str">
        <f>IF(AND(ISODD(B57),ISEVEN(T57)), B57, "")</f>
        <v/>
      </c>
      <c r="AE57" s="2" t="str">
        <f>IF(AND(ISEVEN(B57),ISODD(T57)), B57, "")</f>
        <v/>
      </c>
      <c r="AF57" s="2">
        <f>IF(AND(ISEVEN(B57),ISEVEN(T57)), B57, "")</f>
        <v>56</v>
      </c>
      <c r="AG57" s="2" t="str">
        <f>IF(AND(ISODD(C57),ISODD(T57)), C57, "")</f>
        <v/>
      </c>
      <c r="AH57" s="2" t="str">
        <f>IF(AND(ISODD(C57),ISEVEN(T57)), C57, "")</f>
        <v/>
      </c>
      <c r="AI57" s="2" t="str">
        <f>IF(AND(ISEVEN(C57),ISODD(T57)), C57, "")</f>
        <v/>
      </c>
      <c r="AJ57" s="2">
        <f>IF(AND(ISEVEN(C57),ISEVEN(T57)), C57, "")</f>
        <v>96</v>
      </c>
      <c r="AK57" s="2" t="str">
        <f>IF(U57,B57, "")</f>
        <v/>
      </c>
      <c r="AL57" s="2">
        <f>IF(V57, B57, "")</f>
        <v>56</v>
      </c>
      <c r="AM57" s="2" t="str">
        <f>IF(U57, C57, "")</f>
        <v/>
      </c>
      <c r="AN57" s="2">
        <f>IF(V57, C57, "")</f>
        <v>96</v>
      </c>
    </row>
    <row r="58" spans="2:40" hidden="1" outlineLevel="1" x14ac:dyDescent="0.25">
      <c r="B58" s="2">
        <v>57</v>
      </c>
      <c r="C58" s="2">
        <v>29</v>
      </c>
      <c r="E58" s="2" t="b">
        <f>ISODD(B58)</f>
        <v>1</v>
      </c>
      <c r="F58" s="2" t="b">
        <f>ISEVEN(B58)</f>
        <v>0</v>
      </c>
      <c r="G58" s="2" t="b">
        <f>ISODD(C58)</f>
        <v>1</v>
      </c>
      <c r="H58" s="2" t="b">
        <f>ISEVEN(C58)</f>
        <v>0</v>
      </c>
      <c r="I58" s="2">
        <f>IF(E58, B58, "")</f>
        <v>57</v>
      </c>
      <c r="J58" s="2" t="str">
        <f>IF(F58, B58, "")</f>
        <v/>
      </c>
      <c r="K58" s="2">
        <f>IF(G58, C58, "")</f>
        <v>29</v>
      </c>
      <c r="L58" s="2" t="str">
        <f>IF(H58, C58, "")</f>
        <v/>
      </c>
      <c r="M58" s="2" t="b">
        <f>OR(AND(E58, G58), AND(F58, H58))</f>
        <v>1</v>
      </c>
      <c r="N58" s="2" t="b">
        <f>OR(AND(E58, H58), AND(F58, G58))</f>
        <v>0</v>
      </c>
      <c r="O58" s="2" t="b">
        <f>AND(E58, G58)</f>
        <v>1</v>
      </c>
      <c r="P58" s="2" t="b">
        <f>AND(F58, G58)</f>
        <v>0</v>
      </c>
      <c r="Q58" s="2" t="b">
        <f>AND(F58, H58)</f>
        <v>0</v>
      </c>
      <c r="R58" s="2" t="b">
        <f>AND(E58, H58)</f>
        <v>0</v>
      </c>
      <c r="T58" s="2">
        <f>SUM(B58, C58)</f>
        <v>86</v>
      </c>
      <c r="U58" s="2" t="b">
        <f t="shared" si="0"/>
        <v>0</v>
      </c>
      <c r="V58" s="2" t="b">
        <f t="shared" si="1"/>
        <v>1</v>
      </c>
      <c r="W58" s="2" t="str">
        <f t="shared" si="2"/>
        <v/>
      </c>
      <c r="X58" s="2">
        <f t="shared" si="3"/>
        <v>86</v>
      </c>
      <c r="Y58" s="2" t="b">
        <f>AND(ISODD(B58),ISODD(T58))</f>
        <v>0</v>
      </c>
      <c r="Z58" s="2" t="b">
        <f>AND(ISODD(B58),ISEVEN(T58))</f>
        <v>1</v>
      </c>
      <c r="AA58" s="2" t="b">
        <f>AND(ISEVEN(B58),ISODD(T58))</f>
        <v>0</v>
      </c>
      <c r="AB58" s="2" t="b">
        <f>AND(ISEVEN(B58),ISEVEN(T58))</f>
        <v>0</v>
      </c>
      <c r="AC58" s="2" t="str">
        <f>IF(AND(ISODD(B58),ISODD(T58)), B58, "")</f>
        <v/>
      </c>
      <c r="AD58" s="2">
        <f>IF(AND(ISODD(B58),ISEVEN(T58)), B58, "")</f>
        <v>57</v>
      </c>
      <c r="AE58" s="2" t="str">
        <f>IF(AND(ISEVEN(B58),ISODD(T58)), B58, "")</f>
        <v/>
      </c>
      <c r="AF58" s="2" t="str">
        <f>IF(AND(ISEVEN(B58),ISEVEN(T58)), B58, "")</f>
        <v/>
      </c>
      <c r="AG58" s="2" t="str">
        <f>IF(AND(ISODD(C58),ISODD(T58)), C58, "")</f>
        <v/>
      </c>
      <c r="AH58" s="2">
        <f>IF(AND(ISODD(C58),ISEVEN(T58)), C58, "")</f>
        <v>29</v>
      </c>
      <c r="AI58" s="2" t="str">
        <f>IF(AND(ISEVEN(C58),ISODD(T58)), C58, "")</f>
        <v/>
      </c>
      <c r="AJ58" s="2" t="str">
        <f>IF(AND(ISEVEN(C58),ISEVEN(T58)), C58, "")</f>
        <v/>
      </c>
      <c r="AK58" s="2" t="str">
        <f>IF(U58,B58, "")</f>
        <v/>
      </c>
      <c r="AL58" s="2">
        <f>IF(V58, B58, "")</f>
        <v>57</v>
      </c>
      <c r="AM58" s="2" t="str">
        <f>IF(U58, C58, "")</f>
        <v/>
      </c>
      <c r="AN58" s="2">
        <f>IF(V58, C58, "")</f>
        <v>29</v>
      </c>
    </row>
    <row r="59" spans="2:40" hidden="1" outlineLevel="1" x14ac:dyDescent="0.25">
      <c r="B59" s="2">
        <v>58</v>
      </c>
      <c r="C59" s="2">
        <v>22</v>
      </c>
      <c r="E59" s="2" t="b">
        <f>ISODD(B59)</f>
        <v>0</v>
      </c>
      <c r="F59" s="2" t="b">
        <f>ISEVEN(B59)</f>
        <v>1</v>
      </c>
      <c r="G59" s="2" t="b">
        <f>ISODD(C59)</f>
        <v>0</v>
      </c>
      <c r="H59" s="2" t="b">
        <f>ISEVEN(C59)</f>
        <v>1</v>
      </c>
      <c r="I59" s="2" t="str">
        <f>IF(E59, B59, "")</f>
        <v/>
      </c>
      <c r="J59" s="2">
        <f>IF(F59, B59, "")</f>
        <v>58</v>
      </c>
      <c r="K59" s="2" t="str">
        <f>IF(G59, C59, "")</f>
        <v/>
      </c>
      <c r="L59" s="2">
        <f>IF(H59, C59, "")</f>
        <v>22</v>
      </c>
      <c r="M59" s="2" t="b">
        <f>OR(AND(E59, G59), AND(F59, H59))</f>
        <v>1</v>
      </c>
      <c r="N59" s="2" t="b">
        <f>OR(AND(E59, H59), AND(F59, G59))</f>
        <v>0</v>
      </c>
      <c r="O59" s="2" t="b">
        <f>AND(E59, G59)</f>
        <v>0</v>
      </c>
      <c r="P59" s="2" t="b">
        <f>AND(F59, G59)</f>
        <v>0</v>
      </c>
      <c r="Q59" s="2" t="b">
        <f>AND(F59, H59)</f>
        <v>1</v>
      </c>
      <c r="R59" s="2" t="b">
        <f>AND(E59, H59)</f>
        <v>0</v>
      </c>
      <c r="T59" s="2">
        <f>SUM(B59, C59)</f>
        <v>80</v>
      </c>
      <c r="U59" s="2" t="b">
        <f t="shared" si="0"/>
        <v>0</v>
      </c>
      <c r="V59" s="2" t="b">
        <f t="shared" si="1"/>
        <v>1</v>
      </c>
      <c r="W59" s="2" t="str">
        <f t="shared" si="2"/>
        <v/>
      </c>
      <c r="X59" s="2">
        <f t="shared" si="3"/>
        <v>80</v>
      </c>
      <c r="Y59" s="2" t="b">
        <f>AND(ISODD(B59),ISODD(T59))</f>
        <v>0</v>
      </c>
      <c r="Z59" s="2" t="b">
        <f>AND(ISODD(B59),ISEVEN(T59))</f>
        <v>0</v>
      </c>
      <c r="AA59" s="2" t="b">
        <f>AND(ISEVEN(B59),ISODD(T59))</f>
        <v>0</v>
      </c>
      <c r="AB59" s="2" t="b">
        <f>AND(ISEVEN(B59),ISEVEN(T59))</f>
        <v>1</v>
      </c>
      <c r="AC59" s="2" t="str">
        <f>IF(AND(ISODD(B59),ISODD(T59)), B59, "")</f>
        <v/>
      </c>
      <c r="AD59" s="2" t="str">
        <f>IF(AND(ISODD(B59),ISEVEN(T59)), B59, "")</f>
        <v/>
      </c>
      <c r="AE59" s="2" t="str">
        <f>IF(AND(ISEVEN(B59),ISODD(T59)), B59, "")</f>
        <v/>
      </c>
      <c r="AF59" s="2">
        <f>IF(AND(ISEVEN(B59),ISEVEN(T59)), B59, "")</f>
        <v>58</v>
      </c>
      <c r="AG59" s="2" t="str">
        <f>IF(AND(ISODD(C59),ISODD(T59)), C59, "")</f>
        <v/>
      </c>
      <c r="AH59" s="2" t="str">
        <f>IF(AND(ISODD(C59),ISEVEN(T59)), C59, "")</f>
        <v/>
      </c>
      <c r="AI59" s="2" t="str">
        <f>IF(AND(ISEVEN(C59),ISODD(T59)), C59, "")</f>
        <v/>
      </c>
      <c r="AJ59" s="2">
        <f>IF(AND(ISEVEN(C59),ISEVEN(T59)), C59, "")</f>
        <v>22</v>
      </c>
      <c r="AK59" s="2" t="str">
        <f>IF(U59,B59, "")</f>
        <v/>
      </c>
      <c r="AL59" s="2">
        <f>IF(V59, B59, "")</f>
        <v>58</v>
      </c>
      <c r="AM59" s="2" t="str">
        <f>IF(U59, C59, "")</f>
        <v/>
      </c>
      <c r="AN59" s="2">
        <f>IF(V59, C59, "")</f>
        <v>22</v>
      </c>
    </row>
    <row r="60" spans="2:40" hidden="1" outlineLevel="1" x14ac:dyDescent="0.25">
      <c r="B60" s="2">
        <v>59</v>
      </c>
      <c r="C60" s="2">
        <v>24</v>
      </c>
      <c r="E60" s="2" t="b">
        <f>ISODD(B60)</f>
        <v>1</v>
      </c>
      <c r="F60" s="2" t="b">
        <f>ISEVEN(B60)</f>
        <v>0</v>
      </c>
      <c r="G60" s="2" t="b">
        <f>ISODD(C60)</f>
        <v>0</v>
      </c>
      <c r="H60" s="2" t="b">
        <f>ISEVEN(C60)</f>
        <v>1</v>
      </c>
      <c r="I60" s="2">
        <f>IF(E60, B60, "")</f>
        <v>59</v>
      </c>
      <c r="J60" s="2" t="str">
        <f>IF(F60, B60, "")</f>
        <v/>
      </c>
      <c r="K60" s="2" t="str">
        <f>IF(G60, C60, "")</f>
        <v/>
      </c>
      <c r="L60" s="2">
        <f>IF(H60, C60, "")</f>
        <v>24</v>
      </c>
      <c r="M60" s="2" t="b">
        <f>OR(AND(E60, G60), AND(F60, H60))</f>
        <v>0</v>
      </c>
      <c r="N60" s="2" t="b">
        <f>OR(AND(E60, H60), AND(F60, G60))</f>
        <v>1</v>
      </c>
      <c r="O60" s="2" t="b">
        <f>AND(E60, G60)</f>
        <v>0</v>
      </c>
      <c r="P60" s="2" t="b">
        <f>AND(F60, G60)</f>
        <v>0</v>
      </c>
      <c r="Q60" s="2" t="b">
        <f>AND(F60, H60)</f>
        <v>0</v>
      </c>
      <c r="R60" s="2" t="b">
        <f>AND(E60, H60)</f>
        <v>1</v>
      </c>
      <c r="T60" s="2">
        <f>SUM(B60, C60)</f>
        <v>83</v>
      </c>
      <c r="U60" s="2" t="b">
        <f t="shared" si="0"/>
        <v>1</v>
      </c>
      <c r="V60" s="2" t="b">
        <f t="shared" si="1"/>
        <v>0</v>
      </c>
      <c r="W60" s="2">
        <f t="shared" si="2"/>
        <v>83</v>
      </c>
      <c r="X60" s="2" t="str">
        <f t="shared" si="3"/>
        <v/>
      </c>
      <c r="Y60" s="2" t="b">
        <f>AND(ISODD(B60),ISODD(T60))</f>
        <v>1</v>
      </c>
      <c r="Z60" s="2" t="b">
        <f>AND(ISODD(B60),ISEVEN(T60))</f>
        <v>0</v>
      </c>
      <c r="AA60" s="2" t="b">
        <f>AND(ISEVEN(B60),ISODD(T60))</f>
        <v>0</v>
      </c>
      <c r="AB60" s="2" t="b">
        <f>AND(ISEVEN(B60),ISEVEN(T60))</f>
        <v>0</v>
      </c>
      <c r="AC60" s="2">
        <f>IF(AND(ISODD(B60),ISODD(T60)), B60, "")</f>
        <v>59</v>
      </c>
      <c r="AD60" s="2" t="str">
        <f>IF(AND(ISODD(B60),ISEVEN(T60)), B60, "")</f>
        <v/>
      </c>
      <c r="AE60" s="2" t="str">
        <f>IF(AND(ISEVEN(B60),ISODD(T60)), B60, "")</f>
        <v/>
      </c>
      <c r="AF60" s="2" t="str">
        <f>IF(AND(ISEVEN(B60),ISEVEN(T60)), B60, "")</f>
        <v/>
      </c>
      <c r="AG60" s="2" t="str">
        <f>IF(AND(ISODD(C60),ISODD(T60)), C60, "")</f>
        <v/>
      </c>
      <c r="AH60" s="2" t="str">
        <f>IF(AND(ISODD(C60),ISEVEN(T60)), C60, "")</f>
        <v/>
      </c>
      <c r="AI60" s="2">
        <f>IF(AND(ISEVEN(C60),ISODD(T60)), C60, "")</f>
        <v>24</v>
      </c>
      <c r="AJ60" s="2" t="str">
        <f>IF(AND(ISEVEN(C60),ISEVEN(T60)), C60, "")</f>
        <v/>
      </c>
      <c r="AK60" s="2">
        <f>IF(U60,B60, "")</f>
        <v>59</v>
      </c>
      <c r="AL60" s="2" t="str">
        <f>IF(V60, B60, "")</f>
        <v/>
      </c>
      <c r="AM60" s="2">
        <f>IF(U60, C60, "")</f>
        <v>24</v>
      </c>
      <c r="AN60" s="2" t="str">
        <f>IF(V60, C60, "")</f>
        <v/>
      </c>
    </row>
    <row r="61" spans="2:40" hidden="1" outlineLevel="1" x14ac:dyDescent="0.25">
      <c r="B61" s="2">
        <v>60</v>
      </c>
      <c r="C61" s="2">
        <v>13</v>
      </c>
      <c r="E61" s="2" t="b">
        <f>ISODD(B61)</f>
        <v>0</v>
      </c>
      <c r="F61" s="2" t="b">
        <f>ISEVEN(B61)</f>
        <v>1</v>
      </c>
      <c r="G61" s="2" t="b">
        <f>ISODD(C61)</f>
        <v>1</v>
      </c>
      <c r="H61" s="2" t="b">
        <f>ISEVEN(C61)</f>
        <v>0</v>
      </c>
      <c r="I61" s="2" t="str">
        <f>IF(E61, B61, "")</f>
        <v/>
      </c>
      <c r="J61" s="2">
        <f>IF(F61, B61, "")</f>
        <v>60</v>
      </c>
      <c r="K61" s="2">
        <f>IF(G61, C61, "")</f>
        <v>13</v>
      </c>
      <c r="L61" s="2" t="str">
        <f>IF(H61, C61, "")</f>
        <v/>
      </c>
      <c r="M61" s="2" t="b">
        <f>OR(AND(E61, G61), AND(F61, H61))</f>
        <v>0</v>
      </c>
      <c r="N61" s="2" t="b">
        <f>OR(AND(E61, H61), AND(F61, G61))</f>
        <v>1</v>
      </c>
      <c r="O61" s="2" t="b">
        <f>AND(E61, G61)</f>
        <v>0</v>
      </c>
      <c r="P61" s="2" t="b">
        <f>AND(F61, G61)</f>
        <v>1</v>
      </c>
      <c r="Q61" s="2" t="b">
        <f>AND(F61, H61)</f>
        <v>0</v>
      </c>
      <c r="R61" s="2" t="b">
        <f>AND(E61, H61)</f>
        <v>0</v>
      </c>
      <c r="T61" s="2">
        <f>SUM(B61, C61)</f>
        <v>73</v>
      </c>
      <c r="U61" s="2" t="b">
        <f t="shared" si="0"/>
        <v>1</v>
      </c>
      <c r="V61" s="2" t="b">
        <f t="shared" si="1"/>
        <v>0</v>
      </c>
      <c r="W61" s="2">
        <f t="shared" si="2"/>
        <v>73</v>
      </c>
      <c r="X61" s="2" t="str">
        <f t="shared" si="3"/>
        <v/>
      </c>
      <c r="Y61" s="2" t="b">
        <f>AND(ISODD(B61),ISODD(T61))</f>
        <v>0</v>
      </c>
      <c r="Z61" s="2" t="b">
        <f>AND(ISODD(B61),ISEVEN(T61))</f>
        <v>0</v>
      </c>
      <c r="AA61" s="2" t="b">
        <f>AND(ISEVEN(B61),ISODD(T61))</f>
        <v>1</v>
      </c>
      <c r="AB61" s="2" t="b">
        <f>AND(ISEVEN(B61),ISEVEN(T61))</f>
        <v>0</v>
      </c>
      <c r="AC61" s="2" t="str">
        <f>IF(AND(ISODD(B61),ISODD(T61)), B61, "")</f>
        <v/>
      </c>
      <c r="AD61" s="2" t="str">
        <f>IF(AND(ISODD(B61),ISEVEN(T61)), B61, "")</f>
        <v/>
      </c>
      <c r="AE61" s="2">
        <f>IF(AND(ISEVEN(B61),ISODD(T61)), B61, "")</f>
        <v>60</v>
      </c>
      <c r="AF61" s="2" t="str">
        <f>IF(AND(ISEVEN(B61),ISEVEN(T61)), B61, "")</f>
        <v/>
      </c>
      <c r="AG61" s="2">
        <f>IF(AND(ISODD(C61),ISODD(T61)), C61, "")</f>
        <v>13</v>
      </c>
      <c r="AH61" s="2" t="str">
        <f>IF(AND(ISODD(C61),ISEVEN(T61)), C61, "")</f>
        <v/>
      </c>
      <c r="AI61" s="2" t="str">
        <f>IF(AND(ISEVEN(C61),ISODD(T61)), C61, "")</f>
        <v/>
      </c>
      <c r="AJ61" s="2" t="str">
        <f>IF(AND(ISEVEN(C61),ISEVEN(T61)), C61, "")</f>
        <v/>
      </c>
      <c r="AK61" s="2">
        <f>IF(U61,B61, "")</f>
        <v>60</v>
      </c>
      <c r="AL61" s="2" t="str">
        <f>IF(V61, B61, "")</f>
        <v/>
      </c>
      <c r="AM61" s="2">
        <f>IF(U61, C61, "")</f>
        <v>13</v>
      </c>
      <c r="AN61" s="2" t="str">
        <f>IF(V61, C61, "")</f>
        <v/>
      </c>
    </row>
    <row r="62" spans="2:40" hidden="1" outlineLevel="1" x14ac:dyDescent="0.25">
      <c r="B62" s="2">
        <v>61</v>
      </c>
      <c r="C62" s="2">
        <v>14</v>
      </c>
      <c r="E62" s="2" t="b">
        <f>ISODD(B62)</f>
        <v>1</v>
      </c>
      <c r="F62" s="2" t="b">
        <f>ISEVEN(B62)</f>
        <v>0</v>
      </c>
      <c r="G62" s="2" t="b">
        <f>ISODD(C62)</f>
        <v>0</v>
      </c>
      <c r="H62" s="2" t="b">
        <f>ISEVEN(C62)</f>
        <v>1</v>
      </c>
      <c r="I62" s="2">
        <f>IF(E62, B62, "")</f>
        <v>61</v>
      </c>
      <c r="J62" s="2" t="str">
        <f>IF(F62, B62, "")</f>
        <v/>
      </c>
      <c r="K62" s="2" t="str">
        <f>IF(G62, C62, "")</f>
        <v/>
      </c>
      <c r="L62" s="2">
        <f>IF(H62, C62, "")</f>
        <v>14</v>
      </c>
      <c r="M62" s="2" t="b">
        <f>OR(AND(E62, G62), AND(F62, H62))</f>
        <v>0</v>
      </c>
      <c r="N62" s="2" t="b">
        <f>OR(AND(E62, H62), AND(F62, G62))</f>
        <v>1</v>
      </c>
      <c r="O62" s="2" t="b">
        <f>AND(E62, G62)</f>
        <v>0</v>
      </c>
      <c r="P62" s="2" t="b">
        <f>AND(F62, G62)</f>
        <v>0</v>
      </c>
      <c r="Q62" s="2" t="b">
        <f>AND(F62, H62)</f>
        <v>0</v>
      </c>
      <c r="R62" s="2" t="b">
        <f>AND(E62, H62)</f>
        <v>1</v>
      </c>
      <c r="T62" s="2">
        <f>SUM(B62, C62)</f>
        <v>75</v>
      </c>
      <c r="U62" s="2" t="b">
        <f t="shared" si="0"/>
        <v>1</v>
      </c>
      <c r="V62" s="2" t="b">
        <f t="shared" si="1"/>
        <v>0</v>
      </c>
      <c r="W62" s="2">
        <f t="shared" si="2"/>
        <v>75</v>
      </c>
      <c r="X62" s="2" t="str">
        <f t="shared" si="3"/>
        <v/>
      </c>
      <c r="Y62" s="2" t="b">
        <f>AND(ISODD(B62),ISODD(T62))</f>
        <v>1</v>
      </c>
      <c r="Z62" s="2" t="b">
        <f>AND(ISODD(B62),ISEVEN(T62))</f>
        <v>0</v>
      </c>
      <c r="AA62" s="2" t="b">
        <f>AND(ISEVEN(B62),ISODD(T62))</f>
        <v>0</v>
      </c>
      <c r="AB62" s="2" t="b">
        <f>AND(ISEVEN(B62),ISEVEN(T62))</f>
        <v>0</v>
      </c>
      <c r="AC62" s="2">
        <f>IF(AND(ISODD(B62),ISODD(T62)), B62, "")</f>
        <v>61</v>
      </c>
      <c r="AD62" s="2" t="str">
        <f>IF(AND(ISODD(B62),ISEVEN(T62)), B62, "")</f>
        <v/>
      </c>
      <c r="AE62" s="2" t="str">
        <f>IF(AND(ISEVEN(B62),ISODD(T62)), B62, "")</f>
        <v/>
      </c>
      <c r="AF62" s="2" t="str">
        <f>IF(AND(ISEVEN(B62),ISEVEN(T62)), B62, "")</f>
        <v/>
      </c>
      <c r="AG62" s="2" t="str">
        <f>IF(AND(ISODD(C62),ISODD(T62)), C62, "")</f>
        <v/>
      </c>
      <c r="AH62" s="2" t="str">
        <f>IF(AND(ISODD(C62),ISEVEN(T62)), C62, "")</f>
        <v/>
      </c>
      <c r="AI62" s="2">
        <f>IF(AND(ISEVEN(C62),ISODD(T62)), C62, "")</f>
        <v>14</v>
      </c>
      <c r="AJ62" s="2" t="str">
        <f>IF(AND(ISEVEN(C62),ISEVEN(T62)), C62, "")</f>
        <v/>
      </c>
      <c r="AK62" s="2">
        <f>IF(U62,B62, "")</f>
        <v>61</v>
      </c>
      <c r="AL62" s="2" t="str">
        <f>IF(V62, B62, "")</f>
        <v/>
      </c>
      <c r="AM62" s="2">
        <f>IF(U62, C62, "")</f>
        <v>14</v>
      </c>
      <c r="AN62" s="2" t="str">
        <f>IF(V62, C62, "")</f>
        <v/>
      </c>
    </row>
    <row r="63" spans="2:40" hidden="1" outlineLevel="1" x14ac:dyDescent="0.25">
      <c r="B63" s="2">
        <v>62</v>
      </c>
      <c r="C63" s="2">
        <v>11</v>
      </c>
      <c r="E63" s="2" t="b">
        <f>ISODD(B63)</f>
        <v>0</v>
      </c>
      <c r="F63" s="2" t="b">
        <f>ISEVEN(B63)</f>
        <v>1</v>
      </c>
      <c r="G63" s="2" t="b">
        <f>ISODD(C63)</f>
        <v>1</v>
      </c>
      <c r="H63" s="2" t="b">
        <f>ISEVEN(C63)</f>
        <v>0</v>
      </c>
      <c r="I63" s="2" t="str">
        <f>IF(E63, B63, "")</f>
        <v/>
      </c>
      <c r="J63" s="2">
        <f>IF(F63, B63, "")</f>
        <v>62</v>
      </c>
      <c r="K63" s="2">
        <f>IF(G63, C63, "")</f>
        <v>11</v>
      </c>
      <c r="L63" s="2" t="str">
        <f>IF(H63, C63, "")</f>
        <v/>
      </c>
      <c r="M63" s="2" t="b">
        <f>OR(AND(E63, G63), AND(F63, H63))</f>
        <v>0</v>
      </c>
      <c r="N63" s="2" t="b">
        <f>OR(AND(E63, H63), AND(F63, G63))</f>
        <v>1</v>
      </c>
      <c r="O63" s="2" t="b">
        <f>AND(E63, G63)</f>
        <v>0</v>
      </c>
      <c r="P63" s="2" t="b">
        <f>AND(F63, G63)</f>
        <v>1</v>
      </c>
      <c r="Q63" s="2" t="b">
        <f>AND(F63, H63)</f>
        <v>0</v>
      </c>
      <c r="R63" s="2" t="b">
        <f>AND(E63, H63)</f>
        <v>0</v>
      </c>
      <c r="T63" s="2">
        <f>SUM(B63, C63)</f>
        <v>73</v>
      </c>
      <c r="U63" s="2" t="b">
        <f t="shared" si="0"/>
        <v>1</v>
      </c>
      <c r="V63" s="2" t="b">
        <f t="shared" si="1"/>
        <v>0</v>
      </c>
      <c r="W63" s="2">
        <f t="shared" si="2"/>
        <v>73</v>
      </c>
      <c r="X63" s="2" t="str">
        <f t="shared" si="3"/>
        <v/>
      </c>
      <c r="Y63" s="2" t="b">
        <f>AND(ISODD(B63),ISODD(T63))</f>
        <v>0</v>
      </c>
      <c r="Z63" s="2" t="b">
        <f>AND(ISODD(B63),ISEVEN(T63))</f>
        <v>0</v>
      </c>
      <c r="AA63" s="2" t="b">
        <f>AND(ISEVEN(B63),ISODD(T63))</f>
        <v>1</v>
      </c>
      <c r="AB63" s="2" t="b">
        <f>AND(ISEVEN(B63),ISEVEN(T63))</f>
        <v>0</v>
      </c>
      <c r="AC63" s="2" t="str">
        <f>IF(AND(ISODD(B63),ISODD(T63)), B63, "")</f>
        <v/>
      </c>
      <c r="AD63" s="2" t="str">
        <f>IF(AND(ISODD(B63),ISEVEN(T63)), B63, "")</f>
        <v/>
      </c>
      <c r="AE63" s="2">
        <f>IF(AND(ISEVEN(B63),ISODD(T63)), B63, "")</f>
        <v>62</v>
      </c>
      <c r="AF63" s="2" t="str">
        <f>IF(AND(ISEVEN(B63),ISEVEN(T63)), B63, "")</f>
        <v/>
      </c>
      <c r="AG63" s="2">
        <f>IF(AND(ISODD(C63),ISODD(T63)), C63, "")</f>
        <v>11</v>
      </c>
      <c r="AH63" s="2" t="str">
        <f>IF(AND(ISODD(C63),ISEVEN(T63)), C63, "")</f>
        <v/>
      </c>
      <c r="AI63" s="2" t="str">
        <f>IF(AND(ISEVEN(C63),ISODD(T63)), C63, "")</f>
        <v/>
      </c>
      <c r="AJ63" s="2" t="str">
        <f>IF(AND(ISEVEN(C63),ISEVEN(T63)), C63, "")</f>
        <v/>
      </c>
      <c r="AK63" s="2">
        <f>IF(U63,B63, "")</f>
        <v>62</v>
      </c>
      <c r="AL63" s="2" t="str">
        <f>IF(V63, B63, "")</f>
        <v/>
      </c>
      <c r="AM63" s="2">
        <f>IF(U63, C63, "")</f>
        <v>11</v>
      </c>
      <c r="AN63" s="2" t="str">
        <f>IF(V63, C63, "")</f>
        <v/>
      </c>
    </row>
    <row r="64" spans="2:40" hidden="1" outlineLevel="1" x14ac:dyDescent="0.25">
      <c r="B64" s="2">
        <v>63</v>
      </c>
      <c r="C64" s="2">
        <v>11</v>
      </c>
      <c r="E64" s="2" t="b">
        <f>ISODD(B64)</f>
        <v>1</v>
      </c>
      <c r="F64" s="2" t="b">
        <f>ISEVEN(B64)</f>
        <v>0</v>
      </c>
      <c r="G64" s="2" t="b">
        <f>ISODD(C64)</f>
        <v>1</v>
      </c>
      <c r="H64" s="2" t="b">
        <f>ISEVEN(C64)</f>
        <v>0</v>
      </c>
      <c r="I64" s="2">
        <f>IF(E64, B64, "")</f>
        <v>63</v>
      </c>
      <c r="J64" s="2" t="str">
        <f>IF(F64, B64, "")</f>
        <v/>
      </c>
      <c r="K64" s="2">
        <f>IF(G64, C64, "")</f>
        <v>11</v>
      </c>
      <c r="L64" s="2" t="str">
        <f>IF(H64, C64, "")</f>
        <v/>
      </c>
      <c r="M64" s="2" t="b">
        <f>OR(AND(E64, G64), AND(F64, H64))</f>
        <v>1</v>
      </c>
      <c r="N64" s="2" t="b">
        <f>OR(AND(E64, H64), AND(F64, G64))</f>
        <v>0</v>
      </c>
      <c r="O64" s="2" t="b">
        <f>AND(E64, G64)</f>
        <v>1</v>
      </c>
      <c r="P64" s="2" t="b">
        <f>AND(F64, G64)</f>
        <v>0</v>
      </c>
      <c r="Q64" s="2" t="b">
        <f>AND(F64, H64)</f>
        <v>0</v>
      </c>
      <c r="R64" s="2" t="b">
        <f>AND(E64, H64)</f>
        <v>0</v>
      </c>
      <c r="T64" s="2">
        <f>SUM(B64, C64)</f>
        <v>74</v>
      </c>
      <c r="U64" s="2" t="b">
        <f t="shared" si="0"/>
        <v>0</v>
      </c>
      <c r="V64" s="2" t="b">
        <f t="shared" si="1"/>
        <v>1</v>
      </c>
      <c r="W64" s="2" t="str">
        <f t="shared" si="2"/>
        <v/>
      </c>
      <c r="X64" s="2">
        <f t="shared" si="3"/>
        <v>74</v>
      </c>
      <c r="Y64" s="2" t="b">
        <f>AND(ISODD(B64),ISODD(T64))</f>
        <v>0</v>
      </c>
      <c r="Z64" s="2" t="b">
        <f>AND(ISODD(B64),ISEVEN(T64))</f>
        <v>1</v>
      </c>
      <c r="AA64" s="2" t="b">
        <f>AND(ISEVEN(B64),ISODD(T64))</f>
        <v>0</v>
      </c>
      <c r="AB64" s="2" t="b">
        <f>AND(ISEVEN(B64),ISEVEN(T64))</f>
        <v>0</v>
      </c>
      <c r="AC64" s="2" t="str">
        <f>IF(AND(ISODD(B64),ISODD(T64)), B64, "")</f>
        <v/>
      </c>
      <c r="AD64" s="2">
        <f>IF(AND(ISODD(B64),ISEVEN(T64)), B64, "")</f>
        <v>63</v>
      </c>
      <c r="AE64" s="2" t="str">
        <f>IF(AND(ISEVEN(B64),ISODD(T64)), B64, "")</f>
        <v/>
      </c>
      <c r="AF64" s="2" t="str">
        <f>IF(AND(ISEVEN(B64),ISEVEN(T64)), B64, "")</f>
        <v/>
      </c>
      <c r="AG64" s="2" t="str">
        <f>IF(AND(ISODD(C64),ISODD(T64)), C64, "")</f>
        <v/>
      </c>
      <c r="AH64" s="2">
        <f>IF(AND(ISODD(C64),ISEVEN(T64)), C64, "")</f>
        <v>11</v>
      </c>
      <c r="AI64" s="2" t="str">
        <f>IF(AND(ISEVEN(C64),ISODD(T64)), C64, "")</f>
        <v/>
      </c>
      <c r="AJ64" s="2" t="str">
        <f>IF(AND(ISEVEN(C64),ISEVEN(T64)), C64, "")</f>
        <v/>
      </c>
      <c r="AK64" s="2" t="str">
        <f>IF(U64,B64, "")</f>
        <v/>
      </c>
      <c r="AL64" s="2">
        <f>IF(V64, B64, "")</f>
        <v>63</v>
      </c>
      <c r="AM64" s="2" t="str">
        <f>IF(U64, C64, "")</f>
        <v/>
      </c>
      <c r="AN64" s="2">
        <f>IF(V64, C64, "")</f>
        <v>11</v>
      </c>
    </row>
    <row r="65" spans="2:40" hidden="1" outlineLevel="1" x14ac:dyDescent="0.25">
      <c r="B65" s="2">
        <v>64</v>
      </c>
      <c r="C65" s="2">
        <v>18</v>
      </c>
      <c r="E65" s="2" t="b">
        <f>ISODD(B65)</f>
        <v>0</v>
      </c>
      <c r="F65" s="2" t="b">
        <f>ISEVEN(B65)</f>
        <v>1</v>
      </c>
      <c r="G65" s="2" t="b">
        <f>ISODD(C65)</f>
        <v>0</v>
      </c>
      <c r="H65" s="2" t="b">
        <f>ISEVEN(C65)</f>
        <v>1</v>
      </c>
      <c r="I65" s="2" t="str">
        <f>IF(E65, B65, "")</f>
        <v/>
      </c>
      <c r="J65" s="2">
        <f>IF(F65, B65, "")</f>
        <v>64</v>
      </c>
      <c r="K65" s="2" t="str">
        <f>IF(G65, C65, "")</f>
        <v/>
      </c>
      <c r="L65" s="2">
        <f>IF(H65, C65, "")</f>
        <v>18</v>
      </c>
      <c r="M65" s="2" t="b">
        <f>OR(AND(E65, G65), AND(F65, H65))</f>
        <v>1</v>
      </c>
      <c r="N65" s="2" t="b">
        <f>OR(AND(E65, H65), AND(F65, G65))</f>
        <v>0</v>
      </c>
      <c r="O65" s="2" t="b">
        <f>AND(E65, G65)</f>
        <v>0</v>
      </c>
      <c r="P65" s="2" t="b">
        <f>AND(F65, G65)</f>
        <v>0</v>
      </c>
      <c r="Q65" s="2" t="b">
        <f>AND(F65, H65)</f>
        <v>1</v>
      </c>
      <c r="R65" s="2" t="b">
        <f>AND(E65, H65)</f>
        <v>0</v>
      </c>
      <c r="T65" s="2">
        <f>SUM(B65, C65)</f>
        <v>82</v>
      </c>
      <c r="U65" s="2" t="b">
        <f t="shared" si="0"/>
        <v>0</v>
      </c>
      <c r="V65" s="2" t="b">
        <f t="shared" si="1"/>
        <v>1</v>
      </c>
      <c r="W65" s="2" t="str">
        <f t="shared" si="2"/>
        <v/>
      </c>
      <c r="X65" s="2">
        <f t="shared" si="3"/>
        <v>82</v>
      </c>
      <c r="Y65" s="2" t="b">
        <f>AND(ISODD(B65),ISODD(T65))</f>
        <v>0</v>
      </c>
      <c r="Z65" s="2" t="b">
        <f>AND(ISODD(B65),ISEVEN(T65))</f>
        <v>0</v>
      </c>
      <c r="AA65" s="2" t="b">
        <f>AND(ISEVEN(B65),ISODD(T65))</f>
        <v>0</v>
      </c>
      <c r="AB65" s="2" t="b">
        <f>AND(ISEVEN(B65),ISEVEN(T65))</f>
        <v>1</v>
      </c>
      <c r="AC65" s="2" t="str">
        <f>IF(AND(ISODD(B65),ISODD(T65)), B65, "")</f>
        <v/>
      </c>
      <c r="AD65" s="2" t="str">
        <f>IF(AND(ISODD(B65),ISEVEN(T65)), B65, "")</f>
        <v/>
      </c>
      <c r="AE65" s="2" t="str">
        <f>IF(AND(ISEVEN(B65),ISODD(T65)), B65, "")</f>
        <v/>
      </c>
      <c r="AF65" s="2">
        <f>IF(AND(ISEVEN(B65),ISEVEN(T65)), B65, "")</f>
        <v>64</v>
      </c>
      <c r="AG65" s="2" t="str">
        <f>IF(AND(ISODD(C65),ISODD(T65)), C65, "")</f>
        <v/>
      </c>
      <c r="AH65" s="2" t="str">
        <f>IF(AND(ISODD(C65),ISEVEN(T65)), C65, "")</f>
        <v/>
      </c>
      <c r="AI65" s="2" t="str">
        <f>IF(AND(ISEVEN(C65),ISODD(T65)), C65, "")</f>
        <v/>
      </c>
      <c r="AJ65" s="2">
        <f>IF(AND(ISEVEN(C65),ISEVEN(T65)), C65, "")</f>
        <v>18</v>
      </c>
      <c r="AK65" s="2" t="str">
        <f>IF(U65,B65, "")</f>
        <v/>
      </c>
      <c r="AL65" s="2">
        <f>IF(V65, B65, "")</f>
        <v>64</v>
      </c>
      <c r="AM65" s="2" t="str">
        <f>IF(U65, C65, "")</f>
        <v/>
      </c>
      <c r="AN65" s="2">
        <f>IF(V65, C65, "")</f>
        <v>18</v>
      </c>
    </row>
    <row r="66" spans="2:40" hidden="1" outlineLevel="1" x14ac:dyDescent="0.25">
      <c r="B66" s="2">
        <v>65</v>
      </c>
      <c r="C66" s="2">
        <v>12</v>
      </c>
      <c r="E66" s="2" t="b">
        <f>ISODD(B66)</f>
        <v>1</v>
      </c>
      <c r="F66" s="2" t="b">
        <f>ISEVEN(B66)</f>
        <v>0</v>
      </c>
      <c r="G66" s="2" t="b">
        <f>ISODD(C66)</f>
        <v>0</v>
      </c>
      <c r="H66" s="2" t="b">
        <f>ISEVEN(C66)</f>
        <v>1</v>
      </c>
      <c r="I66" s="2">
        <f>IF(E66, B66, "")</f>
        <v>65</v>
      </c>
      <c r="J66" s="2" t="str">
        <f>IF(F66, B66, "")</f>
        <v/>
      </c>
      <c r="K66" s="2" t="str">
        <f>IF(G66, C66, "")</f>
        <v/>
      </c>
      <c r="L66" s="2">
        <f>IF(H66, C66, "")</f>
        <v>12</v>
      </c>
      <c r="M66" s="2" t="b">
        <f>OR(AND(E66, G66), AND(F66, H66))</f>
        <v>0</v>
      </c>
      <c r="N66" s="2" t="b">
        <f>OR(AND(E66, H66), AND(F66, G66))</f>
        <v>1</v>
      </c>
      <c r="O66" s="2" t="b">
        <f>AND(E66, G66)</f>
        <v>0</v>
      </c>
      <c r="P66" s="2" t="b">
        <f>AND(F66, G66)</f>
        <v>0</v>
      </c>
      <c r="Q66" s="2" t="b">
        <f>AND(F66, H66)</f>
        <v>0</v>
      </c>
      <c r="R66" s="2" t="b">
        <f>AND(E66, H66)</f>
        <v>1</v>
      </c>
      <c r="T66" s="2">
        <f>SUM(B66, C66)</f>
        <v>77</v>
      </c>
      <c r="U66" s="2" t="b">
        <f t="shared" si="0"/>
        <v>1</v>
      </c>
      <c r="V66" s="2" t="b">
        <f t="shared" si="1"/>
        <v>0</v>
      </c>
      <c r="W66" s="2">
        <f t="shared" si="2"/>
        <v>77</v>
      </c>
      <c r="X66" s="2" t="str">
        <f t="shared" si="3"/>
        <v/>
      </c>
      <c r="Y66" s="2" t="b">
        <f>AND(ISODD(B66),ISODD(T66))</f>
        <v>1</v>
      </c>
      <c r="Z66" s="2" t="b">
        <f>AND(ISODD(B66),ISEVEN(T66))</f>
        <v>0</v>
      </c>
      <c r="AA66" s="2" t="b">
        <f>AND(ISEVEN(B66),ISODD(T66))</f>
        <v>0</v>
      </c>
      <c r="AB66" s="2" t="b">
        <f>AND(ISEVEN(B66),ISEVEN(T66))</f>
        <v>0</v>
      </c>
      <c r="AC66" s="2">
        <f>IF(AND(ISODD(B66),ISODD(T66)), B66, "")</f>
        <v>65</v>
      </c>
      <c r="AD66" s="2" t="str">
        <f>IF(AND(ISODD(B66),ISEVEN(T66)), B66, "")</f>
        <v/>
      </c>
      <c r="AE66" s="2" t="str">
        <f>IF(AND(ISEVEN(B66),ISODD(T66)), B66, "")</f>
        <v/>
      </c>
      <c r="AF66" s="2" t="str">
        <f>IF(AND(ISEVEN(B66),ISEVEN(T66)), B66, "")</f>
        <v/>
      </c>
      <c r="AG66" s="2" t="str">
        <f>IF(AND(ISODD(C66),ISODD(T66)), C66, "")</f>
        <v/>
      </c>
      <c r="AH66" s="2" t="str">
        <f>IF(AND(ISODD(C66),ISEVEN(T66)), C66, "")</f>
        <v/>
      </c>
      <c r="AI66" s="2">
        <f>IF(AND(ISEVEN(C66),ISODD(T66)), C66, "")</f>
        <v>12</v>
      </c>
      <c r="AJ66" s="2" t="str">
        <f>IF(AND(ISEVEN(C66),ISEVEN(T66)), C66, "")</f>
        <v/>
      </c>
      <c r="AK66" s="2">
        <f>IF(U66,B66, "")</f>
        <v>65</v>
      </c>
      <c r="AL66" s="2" t="str">
        <f>IF(V66, B66, "")</f>
        <v/>
      </c>
      <c r="AM66" s="2">
        <f>IF(U66, C66, "")</f>
        <v>12</v>
      </c>
      <c r="AN66" s="2" t="str">
        <f>IF(V66, C66, "")</f>
        <v/>
      </c>
    </row>
    <row r="67" spans="2:40" hidden="1" outlineLevel="1" x14ac:dyDescent="0.25">
      <c r="B67" s="2">
        <v>66</v>
      </c>
      <c r="C67" s="2">
        <v>12</v>
      </c>
      <c r="E67" s="2" t="b">
        <f>ISODD(B67)</f>
        <v>0</v>
      </c>
      <c r="F67" s="2" t="b">
        <f>ISEVEN(B67)</f>
        <v>1</v>
      </c>
      <c r="G67" s="2" t="b">
        <f>ISODD(C67)</f>
        <v>0</v>
      </c>
      <c r="H67" s="2" t="b">
        <f>ISEVEN(C67)</f>
        <v>1</v>
      </c>
      <c r="I67" s="2" t="str">
        <f>IF(E67, B67, "")</f>
        <v/>
      </c>
      <c r="J67" s="2">
        <f>IF(F67, B67, "")</f>
        <v>66</v>
      </c>
      <c r="K67" s="2" t="str">
        <f>IF(G67, C67, "")</f>
        <v/>
      </c>
      <c r="L67" s="2">
        <f>IF(H67, C67, "")</f>
        <v>12</v>
      </c>
      <c r="M67" s="2" t="b">
        <f>OR(AND(E67, G67), AND(F67, H67))</f>
        <v>1</v>
      </c>
      <c r="N67" s="2" t="b">
        <f>OR(AND(E67, H67), AND(F67, G67))</f>
        <v>0</v>
      </c>
      <c r="O67" s="2" t="b">
        <f>AND(E67, G67)</f>
        <v>0</v>
      </c>
      <c r="P67" s="2" t="b">
        <f>AND(F67, G67)</f>
        <v>0</v>
      </c>
      <c r="Q67" s="2" t="b">
        <f>AND(F67, H67)</f>
        <v>1</v>
      </c>
      <c r="R67" s="2" t="b">
        <f>AND(E67, H67)</f>
        <v>0</v>
      </c>
      <c r="T67" s="2">
        <f>SUM(B67, C67)</f>
        <v>78</v>
      </c>
      <c r="U67" s="2" t="b">
        <f t="shared" ref="U67:U115" si="4">ISODD(T67)</f>
        <v>0</v>
      </c>
      <c r="V67" s="2" t="b">
        <f t="shared" ref="V67:V115" si="5">ISEVEN(T67)</f>
        <v>1</v>
      </c>
      <c r="W67" s="2" t="str">
        <f t="shared" ref="W67:W115" si="6">IF(U67, T67, "")</f>
        <v/>
      </c>
      <c r="X67" s="2">
        <f t="shared" ref="X67:X115" si="7">IF(V67, T67, "")</f>
        <v>78</v>
      </c>
      <c r="Y67" s="2" t="b">
        <f>AND(ISODD(B67),ISODD(T67))</f>
        <v>0</v>
      </c>
      <c r="Z67" s="2" t="b">
        <f>AND(ISODD(B67),ISEVEN(T67))</f>
        <v>0</v>
      </c>
      <c r="AA67" s="2" t="b">
        <f>AND(ISEVEN(B67),ISODD(T67))</f>
        <v>0</v>
      </c>
      <c r="AB67" s="2" t="b">
        <f>AND(ISEVEN(B67),ISEVEN(T67))</f>
        <v>1</v>
      </c>
      <c r="AC67" s="2" t="str">
        <f>IF(AND(ISODD(B67),ISODD(T67)), B67, "")</f>
        <v/>
      </c>
      <c r="AD67" s="2" t="str">
        <f>IF(AND(ISODD(B67),ISEVEN(T67)), B67, "")</f>
        <v/>
      </c>
      <c r="AE67" s="2" t="str">
        <f>IF(AND(ISEVEN(B67),ISODD(T67)), B67, "")</f>
        <v/>
      </c>
      <c r="AF67" s="2">
        <f>IF(AND(ISEVEN(B67),ISEVEN(T67)), B67, "")</f>
        <v>66</v>
      </c>
      <c r="AG67" s="2" t="str">
        <f>IF(AND(ISODD(C67),ISODD(T67)), C67, "")</f>
        <v/>
      </c>
      <c r="AH67" s="2" t="str">
        <f>IF(AND(ISODD(C67),ISEVEN(T67)), C67, "")</f>
        <v/>
      </c>
      <c r="AI67" s="2" t="str">
        <f>IF(AND(ISEVEN(C67),ISODD(T67)), C67, "")</f>
        <v/>
      </c>
      <c r="AJ67" s="2">
        <f>IF(AND(ISEVEN(C67),ISEVEN(T67)), C67, "")</f>
        <v>12</v>
      </c>
      <c r="AK67" s="2" t="str">
        <f>IF(U67,B67, "")</f>
        <v/>
      </c>
      <c r="AL67" s="2">
        <f>IF(V67, B67, "")</f>
        <v>66</v>
      </c>
      <c r="AM67" s="2" t="str">
        <f>IF(U67, C67, "")</f>
        <v/>
      </c>
      <c r="AN67" s="2">
        <f>IF(V67, C67, "")</f>
        <v>12</v>
      </c>
    </row>
    <row r="68" spans="2:40" hidden="1" outlineLevel="1" x14ac:dyDescent="0.25">
      <c r="B68" s="2">
        <v>67</v>
      </c>
      <c r="C68" s="2">
        <v>30</v>
      </c>
      <c r="E68" s="2" t="b">
        <f>ISODD(B68)</f>
        <v>1</v>
      </c>
      <c r="F68" s="2" t="b">
        <f>ISEVEN(B68)</f>
        <v>0</v>
      </c>
      <c r="G68" s="2" t="b">
        <f>ISODD(C68)</f>
        <v>0</v>
      </c>
      <c r="H68" s="2" t="b">
        <f>ISEVEN(C68)</f>
        <v>1</v>
      </c>
      <c r="I68" s="2">
        <f>IF(E68, B68, "")</f>
        <v>67</v>
      </c>
      <c r="J68" s="2" t="str">
        <f>IF(F68, B68, "")</f>
        <v/>
      </c>
      <c r="K68" s="2" t="str">
        <f>IF(G68, C68, "")</f>
        <v/>
      </c>
      <c r="L68" s="2">
        <f>IF(H68, C68, "")</f>
        <v>30</v>
      </c>
      <c r="M68" s="2" t="b">
        <f>OR(AND(E68, G68), AND(F68, H68))</f>
        <v>0</v>
      </c>
      <c r="N68" s="2" t="b">
        <f>OR(AND(E68, H68), AND(F68, G68))</f>
        <v>1</v>
      </c>
      <c r="O68" s="2" t="b">
        <f>AND(E68, G68)</f>
        <v>0</v>
      </c>
      <c r="P68" s="2" t="b">
        <f>AND(F68, G68)</f>
        <v>0</v>
      </c>
      <c r="Q68" s="2" t="b">
        <f>AND(F68, H68)</f>
        <v>0</v>
      </c>
      <c r="R68" s="2" t="b">
        <f>AND(E68, H68)</f>
        <v>1</v>
      </c>
      <c r="T68" s="2">
        <f>SUM(B68, C68)</f>
        <v>97</v>
      </c>
      <c r="U68" s="2" t="b">
        <f t="shared" si="4"/>
        <v>1</v>
      </c>
      <c r="V68" s="2" t="b">
        <f t="shared" si="5"/>
        <v>0</v>
      </c>
      <c r="W68" s="2">
        <f t="shared" si="6"/>
        <v>97</v>
      </c>
      <c r="X68" s="2" t="str">
        <f t="shared" si="7"/>
        <v/>
      </c>
      <c r="Y68" s="2" t="b">
        <f>AND(ISODD(B68),ISODD(T68))</f>
        <v>1</v>
      </c>
      <c r="Z68" s="2" t="b">
        <f>AND(ISODD(B68),ISEVEN(T68))</f>
        <v>0</v>
      </c>
      <c r="AA68" s="2" t="b">
        <f>AND(ISEVEN(B68),ISODD(T68))</f>
        <v>0</v>
      </c>
      <c r="AB68" s="2" t="b">
        <f>AND(ISEVEN(B68),ISEVEN(T68))</f>
        <v>0</v>
      </c>
      <c r="AC68" s="2">
        <f>IF(AND(ISODD(B68),ISODD(T68)), B68, "")</f>
        <v>67</v>
      </c>
      <c r="AD68" s="2" t="str">
        <f>IF(AND(ISODD(B68),ISEVEN(T68)), B68, "")</f>
        <v/>
      </c>
      <c r="AE68" s="2" t="str">
        <f>IF(AND(ISEVEN(B68),ISODD(T68)), B68, "")</f>
        <v/>
      </c>
      <c r="AF68" s="2" t="str">
        <f>IF(AND(ISEVEN(B68),ISEVEN(T68)), B68, "")</f>
        <v/>
      </c>
      <c r="AG68" s="2" t="str">
        <f>IF(AND(ISODD(C68),ISODD(T68)), C68, "")</f>
        <v/>
      </c>
      <c r="AH68" s="2" t="str">
        <f>IF(AND(ISODD(C68),ISEVEN(T68)), C68, "")</f>
        <v/>
      </c>
      <c r="AI68" s="2">
        <f>IF(AND(ISEVEN(C68),ISODD(T68)), C68, "")</f>
        <v>30</v>
      </c>
      <c r="AJ68" s="2" t="str">
        <f>IF(AND(ISEVEN(C68),ISEVEN(T68)), C68, "")</f>
        <v/>
      </c>
      <c r="AK68" s="2">
        <f>IF(U68,B68, "")</f>
        <v>67</v>
      </c>
      <c r="AL68" s="2" t="str">
        <f>IF(V68, B68, "")</f>
        <v/>
      </c>
      <c r="AM68" s="2">
        <f>IF(U68, C68, "")</f>
        <v>30</v>
      </c>
      <c r="AN68" s="2" t="str">
        <f>IF(V68, C68, "")</f>
        <v/>
      </c>
    </row>
    <row r="69" spans="2:40" hidden="1" outlineLevel="1" x14ac:dyDescent="0.25">
      <c r="B69" s="2">
        <v>68</v>
      </c>
      <c r="C69" s="2">
        <v>52</v>
      </c>
      <c r="E69" s="2" t="b">
        <f>ISODD(B69)</f>
        <v>0</v>
      </c>
      <c r="F69" s="2" t="b">
        <f>ISEVEN(B69)</f>
        <v>1</v>
      </c>
      <c r="G69" s="2" t="b">
        <f>ISODD(C69)</f>
        <v>0</v>
      </c>
      <c r="H69" s="2" t="b">
        <f>ISEVEN(C69)</f>
        <v>1</v>
      </c>
      <c r="I69" s="2" t="str">
        <f>IF(E69, B69, "")</f>
        <v/>
      </c>
      <c r="J69" s="2">
        <f>IF(F69, B69, "")</f>
        <v>68</v>
      </c>
      <c r="K69" s="2" t="str">
        <f>IF(G69, C69, "")</f>
        <v/>
      </c>
      <c r="L69" s="2">
        <f>IF(H69, C69, "")</f>
        <v>52</v>
      </c>
      <c r="M69" s="2" t="b">
        <f>OR(AND(E69, G69), AND(F69, H69))</f>
        <v>1</v>
      </c>
      <c r="N69" s="2" t="b">
        <f>OR(AND(E69, H69), AND(F69, G69))</f>
        <v>0</v>
      </c>
      <c r="O69" s="2" t="b">
        <f>AND(E69, G69)</f>
        <v>0</v>
      </c>
      <c r="P69" s="2" t="b">
        <f>AND(F69, G69)</f>
        <v>0</v>
      </c>
      <c r="Q69" s="2" t="b">
        <f>AND(F69, H69)</f>
        <v>1</v>
      </c>
      <c r="R69" s="2" t="b">
        <f>AND(E69, H69)</f>
        <v>0</v>
      </c>
      <c r="T69" s="2">
        <f>SUM(B69, C69)</f>
        <v>120</v>
      </c>
      <c r="U69" s="2" t="b">
        <f t="shared" si="4"/>
        <v>0</v>
      </c>
      <c r="V69" s="2" t="b">
        <f t="shared" si="5"/>
        <v>1</v>
      </c>
      <c r="W69" s="2" t="str">
        <f t="shared" si="6"/>
        <v/>
      </c>
      <c r="X69" s="2">
        <f t="shared" si="7"/>
        <v>120</v>
      </c>
      <c r="Y69" s="2" t="b">
        <f>AND(ISODD(B69),ISODD(T69))</f>
        <v>0</v>
      </c>
      <c r="Z69" s="2" t="b">
        <f>AND(ISODD(B69),ISEVEN(T69))</f>
        <v>0</v>
      </c>
      <c r="AA69" s="2" t="b">
        <f>AND(ISEVEN(B69),ISODD(T69))</f>
        <v>0</v>
      </c>
      <c r="AB69" s="2" t="b">
        <f>AND(ISEVEN(B69),ISEVEN(T69))</f>
        <v>1</v>
      </c>
      <c r="AC69" s="2" t="str">
        <f>IF(AND(ISODD(B69),ISODD(T69)), B69, "")</f>
        <v/>
      </c>
      <c r="AD69" s="2" t="str">
        <f>IF(AND(ISODD(B69),ISEVEN(T69)), B69, "")</f>
        <v/>
      </c>
      <c r="AE69" s="2" t="str">
        <f>IF(AND(ISEVEN(B69),ISODD(T69)), B69, "")</f>
        <v/>
      </c>
      <c r="AF69" s="2">
        <f>IF(AND(ISEVEN(B69),ISEVEN(T69)), B69, "")</f>
        <v>68</v>
      </c>
      <c r="AG69" s="2" t="str">
        <f>IF(AND(ISODD(C69),ISODD(T69)), C69, "")</f>
        <v/>
      </c>
      <c r="AH69" s="2" t="str">
        <f>IF(AND(ISODD(C69),ISEVEN(T69)), C69, "")</f>
        <v/>
      </c>
      <c r="AI69" s="2" t="str">
        <f>IF(AND(ISEVEN(C69),ISODD(T69)), C69, "")</f>
        <v/>
      </c>
      <c r="AJ69" s="2">
        <f>IF(AND(ISEVEN(C69),ISEVEN(T69)), C69, "")</f>
        <v>52</v>
      </c>
      <c r="AK69" s="2" t="str">
        <f>IF(U69,B69, "")</f>
        <v/>
      </c>
      <c r="AL69" s="2">
        <f>IF(V69, B69, "")</f>
        <v>68</v>
      </c>
      <c r="AM69" s="2" t="str">
        <f>IF(U69, C69, "")</f>
        <v/>
      </c>
      <c r="AN69" s="2">
        <f>IF(V69, C69, "")</f>
        <v>52</v>
      </c>
    </row>
    <row r="70" spans="2:40" hidden="1" outlineLevel="1" x14ac:dyDescent="0.25">
      <c r="B70" s="2">
        <v>69</v>
      </c>
      <c r="C70" s="2">
        <v>52</v>
      </c>
      <c r="E70" s="2" t="b">
        <f>ISODD(B70)</f>
        <v>1</v>
      </c>
      <c r="F70" s="2" t="b">
        <f>ISEVEN(B70)</f>
        <v>0</v>
      </c>
      <c r="G70" s="2" t="b">
        <f>ISODD(C70)</f>
        <v>0</v>
      </c>
      <c r="H70" s="2" t="b">
        <f>ISEVEN(C70)</f>
        <v>1</v>
      </c>
      <c r="I70" s="2">
        <f>IF(E70, B70, "")</f>
        <v>69</v>
      </c>
      <c r="J70" s="2" t="str">
        <f>IF(F70, B70, "")</f>
        <v/>
      </c>
      <c r="K70" s="2" t="str">
        <f>IF(G70, C70, "")</f>
        <v/>
      </c>
      <c r="L70" s="2">
        <f>IF(H70, C70, "")</f>
        <v>52</v>
      </c>
      <c r="M70" s="2" t="b">
        <f>OR(AND(E70, G70), AND(F70, H70))</f>
        <v>0</v>
      </c>
      <c r="N70" s="2" t="b">
        <f>OR(AND(E70, H70), AND(F70, G70))</f>
        <v>1</v>
      </c>
      <c r="O70" s="2" t="b">
        <f>AND(E70, G70)</f>
        <v>0</v>
      </c>
      <c r="P70" s="2" t="b">
        <f>AND(F70, G70)</f>
        <v>0</v>
      </c>
      <c r="Q70" s="2" t="b">
        <f>AND(F70, H70)</f>
        <v>0</v>
      </c>
      <c r="R70" s="2" t="b">
        <f>AND(E70, H70)</f>
        <v>1</v>
      </c>
      <c r="T70" s="2">
        <f>SUM(B70, C70)</f>
        <v>121</v>
      </c>
      <c r="U70" s="2" t="b">
        <f t="shared" si="4"/>
        <v>1</v>
      </c>
      <c r="V70" s="2" t="b">
        <f t="shared" si="5"/>
        <v>0</v>
      </c>
      <c r="W70" s="2">
        <f t="shared" si="6"/>
        <v>121</v>
      </c>
      <c r="X70" s="2" t="str">
        <f t="shared" si="7"/>
        <v/>
      </c>
      <c r="Y70" s="2" t="b">
        <f>AND(ISODD(B70),ISODD(T70))</f>
        <v>1</v>
      </c>
      <c r="Z70" s="2" t="b">
        <f>AND(ISODD(B70),ISEVEN(T70))</f>
        <v>0</v>
      </c>
      <c r="AA70" s="2" t="b">
        <f>AND(ISEVEN(B70),ISODD(T70))</f>
        <v>0</v>
      </c>
      <c r="AB70" s="2" t="b">
        <f>AND(ISEVEN(B70),ISEVEN(T70))</f>
        <v>0</v>
      </c>
      <c r="AC70" s="2">
        <f>IF(AND(ISODD(B70),ISODD(T70)), B70, "")</f>
        <v>69</v>
      </c>
      <c r="AD70" s="2" t="str">
        <f>IF(AND(ISODD(B70),ISEVEN(T70)), B70, "")</f>
        <v/>
      </c>
      <c r="AE70" s="2" t="str">
        <f>IF(AND(ISEVEN(B70),ISODD(T70)), B70, "")</f>
        <v/>
      </c>
      <c r="AF70" s="2" t="str">
        <f>IF(AND(ISEVEN(B70),ISEVEN(T70)), B70, "")</f>
        <v/>
      </c>
      <c r="AG70" s="2" t="str">
        <f>IF(AND(ISODD(C70),ISODD(T70)), C70, "")</f>
        <v/>
      </c>
      <c r="AH70" s="2" t="str">
        <f>IF(AND(ISODD(C70),ISEVEN(T70)), C70, "")</f>
        <v/>
      </c>
      <c r="AI70" s="2">
        <f>IF(AND(ISEVEN(C70),ISODD(T70)), C70, "")</f>
        <v>52</v>
      </c>
      <c r="AJ70" s="2" t="str">
        <f>IF(AND(ISEVEN(C70),ISEVEN(T70)), C70, "")</f>
        <v/>
      </c>
      <c r="AK70" s="2">
        <f>IF(U70,B70, "")</f>
        <v>69</v>
      </c>
      <c r="AL70" s="2" t="str">
        <f>IF(V70, B70, "")</f>
        <v/>
      </c>
      <c r="AM70" s="2">
        <f>IF(U70, C70, "")</f>
        <v>52</v>
      </c>
      <c r="AN70" s="2" t="str">
        <f>IF(V70, C70, "")</f>
        <v/>
      </c>
    </row>
    <row r="71" spans="2:40" hidden="1" outlineLevel="1" x14ac:dyDescent="0.25">
      <c r="B71" s="2">
        <v>70</v>
      </c>
      <c r="C71" s="2">
        <v>44</v>
      </c>
      <c r="E71" s="2" t="b">
        <f>ISODD(B71)</f>
        <v>0</v>
      </c>
      <c r="F71" s="2" t="b">
        <f>ISEVEN(B71)</f>
        <v>1</v>
      </c>
      <c r="G71" s="2" t="b">
        <f>ISODD(C71)</f>
        <v>0</v>
      </c>
      <c r="H71" s="2" t="b">
        <f>ISEVEN(C71)</f>
        <v>1</v>
      </c>
      <c r="I71" s="2" t="str">
        <f>IF(E71, B71, "")</f>
        <v/>
      </c>
      <c r="J71" s="2">
        <f>IF(F71, B71, "")</f>
        <v>70</v>
      </c>
      <c r="K71" s="2" t="str">
        <f>IF(G71, C71, "")</f>
        <v/>
      </c>
      <c r="L71" s="2">
        <f>IF(H71, C71, "")</f>
        <v>44</v>
      </c>
      <c r="M71" s="2" t="b">
        <f>OR(AND(E71, G71), AND(F71, H71))</f>
        <v>1</v>
      </c>
      <c r="N71" s="2" t="b">
        <f>OR(AND(E71, H71), AND(F71, G71))</f>
        <v>0</v>
      </c>
      <c r="O71" s="2" t="b">
        <f>AND(E71, G71)</f>
        <v>0</v>
      </c>
      <c r="P71" s="2" t="b">
        <f>AND(F71, G71)</f>
        <v>0</v>
      </c>
      <c r="Q71" s="2" t="b">
        <f>AND(F71, H71)</f>
        <v>1</v>
      </c>
      <c r="R71" s="2" t="b">
        <f>AND(E71, H71)</f>
        <v>0</v>
      </c>
      <c r="T71" s="2">
        <f>SUM(B71, C71)</f>
        <v>114</v>
      </c>
      <c r="U71" s="2" t="b">
        <f t="shared" si="4"/>
        <v>0</v>
      </c>
      <c r="V71" s="2" t="b">
        <f t="shared" si="5"/>
        <v>1</v>
      </c>
      <c r="W71" s="2" t="str">
        <f t="shared" si="6"/>
        <v/>
      </c>
      <c r="X71" s="2">
        <f t="shared" si="7"/>
        <v>114</v>
      </c>
      <c r="Y71" s="2" t="b">
        <f>AND(ISODD(B71),ISODD(T71))</f>
        <v>0</v>
      </c>
      <c r="Z71" s="2" t="b">
        <f>AND(ISODD(B71),ISEVEN(T71))</f>
        <v>0</v>
      </c>
      <c r="AA71" s="2" t="b">
        <f>AND(ISEVEN(B71),ISODD(T71))</f>
        <v>0</v>
      </c>
      <c r="AB71" s="2" t="b">
        <f>AND(ISEVEN(B71),ISEVEN(T71))</f>
        <v>1</v>
      </c>
      <c r="AC71" s="2" t="str">
        <f>IF(AND(ISODD(B71),ISODD(T71)), B71, "")</f>
        <v/>
      </c>
      <c r="AD71" s="2" t="str">
        <f>IF(AND(ISODD(B71),ISEVEN(T71)), B71, "")</f>
        <v/>
      </c>
      <c r="AE71" s="2" t="str">
        <f>IF(AND(ISEVEN(B71),ISODD(T71)), B71, "")</f>
        <v/>
      </c>
      <c r="AF71" s="2">
        <f>IF(AND(ISEVEN(B71),ISEVEN(T71)), B71, "")</f>
        <v>70</v>
      </c>
      <c r="AG71" s="2" t="str">
        <f>IF(AND(ISODD(C71),ISODD(T71)), C71, "")</f>
        <v/>
      </c>
      <c r="AH71" s="2" t="str">
        <f>IF(AND(ISODD(C71),ISEVEN(T71)), C71, "")</f>
        <v/>
      </c>
      <c r="AI71" s="2" t="str">
        <f>IF(AND(ISEVEN(C71),ISODD(T71)), C71, "")</f>
        <v/>
      </c>
      <c r="AJ71" s="2">
        <f>IF(AND(ISEVEN(C71),ISEVEN(T71)), C71, "")</f>
        <v>44</v>
      </c>
      <c r="AK71" s="2" t="str">
        <f>IF(U71,B71, "")</f>
        <v/>
      </c>
      <c r="AL71" s="2">
        <f>IF(V71, B71, "")</f>
        <v>70</v>
      </c>
      <c r="AM71" s="2" t="str">
        <f>IF(U71, C71, "")</f>
        <v/>
      </c>
      <c r="AN71" s="2">
        <f>IF(V71, C71, "")</f>
        <v>44</v>
      </c>
    </row>
    <row r="72" spans="2:40" hidden="1" outlineLevel="1" x14ac:dyDescent="0.25">
      <c r="B72" s="2">
        <v>71</v>
      </c>
      <c r="C72" s="2">
        <v>28</v>
      </c>
      <c r="E72" s="2" t="b">
        <f>ISODD(B72)</f>
        <v>1</v>
      </c>
      <c r="F72" s="2" t="b">
        <f>ISEVEN(B72)</f>
        <v>0</v>
      </c>
      <c r="G72" s="2" t="b">
        <f>ISODD(C72)</f>
        <v>0</v>
      </c>
      <c r="H72" s="2" t="b">
        <f>ISEVEN(C72)</f>
        <v>1</v>
      </c>
      <c r="I72" s="2">
        <f>IF(E72, B72, "")</f>
        <v>71</v>
      </c>
      <c r="J72" s="2" t="str">
        <f>IF(F72, B72, "")</f>
        <v/>
      </c>
      <c r="K72" s="2" t="str">
        <f>IF(G72, C72, "")</f>
        <v/>
      </c>
      <c r="L72" s="2">
        <f>IF(H72, C72, "")</f>
        <v>28</v>
      </c>
      <c r="M72" s="2" t="b">
        <f>OR(AND(E72, G72), AND(F72, H72))</f>
        <v>0</v>
      </c>
      <c r="N72" s="2" t="b">
        <f>OR(AND(E72, H72), AND(F72, G72))</f>
        <v>1</v>
      </c>
      <c r="O72" s="2" t="b">
        <f>AND(E72, G72)</f>
        <v>0</v>
      </c>
      <c r="P72" s="2" t="b">
        <f>AND(F72, G72)</f>
        <v>0</v>
      </c>
      <c r="Q72" s="2" t="b">
        <f>AND(F72, H72)</f>
        <v>0</v>
      </c>
      <c r="R72" s="2" t="b">
        <f>AND(E72, H72)</f>
        <v>1</v>
      </c>
      <c r="T72" s="2">
        <f>SUM(B72, C72)</f>
        <v>99</v>
      </c>
      <c r="U72" s="2" t="b">
        <f t="shared" si="4"/>
        <v>1</v>
      </c>
      <c r="V72" s="2" t="b">
        <f t="shared" si="5"/>
        <v>0</v>
      </c>
      <c r="W72" s="2">
        <f t="shared" si="6"/>
        <v>99</v>
      </c>
      <c r="X72" s="2" t="str">
        <f t="shared" si="7"/>
        <v/>
      </c>
      <c r="Y72" s="2" t="b">
        <f>AND(ISODD(B72),ISODD(T72))</f>
        <v>1</v>
      </c>
      <c r="Z72" s="2" t="b">
        <f>AND(ISODD(B72),ISEVEN(T72))</f>
        <v>0</v>
      </c>
      <c r="AA72" s="2" t="b">
        <f>AND(ISEVEN(B72),ISODD(T72))</f>
        <v>0</v>
      </c>
      <c r="AB72" s="2" t="b">
        <f>AND(ISEVEN(B72),ISEVEN(T72))</f>
        <v>0</v>
      </c>
      <c r="AC72" s="2">
        <f>IF(AND(ISODD(B72),ISODD(T72)), B72, "")</f>
        <v>71</v>
      </c>
      <c r="AD72" s="2" t="str">
        <f>IF(AND(ISODD(B72),ISEVEN(T72)), B72, "")</f>
        <v/>
      </c>
      <c r="AE72" s="2" t="str">
        <f>IF(AND(ISEVEN(B72),ISODD(T72)), B72, "")</f>
        <v/>
      </c>
      <c r="AF72" s="2" t="str">
        <f>IF(AND(ISEVEN(B72),ISEVEN(T72)), B72, "")</f>
        <v/>
      </c>
      <c r="AG72" s="2" t="str">
        <f>IF(AND(ISODD(C72),ISODD(T72)), C72, "")</f>
        <v/>
      </c>
      <c r="AH72" s="2" t="str">
        <f>IF(AND(ISODD(C72),ISEVEN(T72)), C72, "")</f>
        <v/>
      </c>
      <c r="AI72" s="2">
        <f>IF(AND(ISEVEN(C72),ISODD(T72)), C72, "")</f>
        <v>28</v>
      </c>
      <c r="AJ72" s="2" t="str">
        <f>IF(AND(ISEVEN(C72),ISEVEN(T72)), C72, "")</f>
        <v/>
      </c>
      <c r="AK72" s="2">
        <f>IF(U72,B72, "")</f>
        <v>71</v>
      </c>
      <c r="AL72" s="2" t="str">
        <f>IF(V72, B72, "")</f>
        <v/>
      </c>
      <c r="AM72" s="2">
        <f>IF(U72, C72, "")</f>
        <v>28</v>
      </c>
      <c r="AN72" s="2" t="str">
        <f>IF(V72, C72, "")</f>
        <v/>
      </c>
    </row>
    <row r="73" spans="2:40" hidden="1" outlineLevel="1" x14ac:dyDescent="0.25">
      <c r="B73" s="2">
        <v>72</v>
      </c>
      <c r="C73" s="2">
        <v>28</v>
      </c>
      <c r="E73" s="2" t="b">
        <f>ISODD(B73)</f>
        <v>0</v>
      </c>
      <c r="F73" s="2" t="b">
        <f>ISEVEN(B73)</f>
        <v>1</v>
      </c>
      <c r="G73" s="2" t="b">
        <f>ISODD(C73)</f>
        <v>0</v>
      </c>
      <c r="H73" s="2" t="b">
        <f>ISEVEN(C73)</f>
        <v>1</v>
      </c>
      <c r="I73" s="2" t="str">
        <f>IF(E73, B73, "")</f>
        <v/>
      </c>
      <c r="J73" s="2">
        <f>IF(F73, B73, "")</f>
        <v>72</v>
      </c>
      <c r="K73" s="2" t="str">
        <f>IF(G73, C73, "")</f>
        <v/>
      </c>
      <c r="L73" s="2">
        <f>IF(H73, C73, "")</f>
        <v>28</v>
      </c>
      <c r="M73" s="2" t="b">
        <f>OR(AND(E73, G73), AND(F73, H73))</f>
        <v>1</v>
      </c>
      <c r="N73" s="2" t="b">
        <f>OR(AND(E73, H73), AND(F73, G73))</f>
        <v>0</v>
      </c>
      <c r="O73" s="2" t="b">
        <f>AND(E73, G73)</f>
        <v>0</v>
      </c>
      <c r="P73" s="2" t="b">
        <f>AND(F73, G73)</f>
        <v>0</v>
      </c>
      <c r="Q73" s="2" t="b">
        <f>AND(F73, H73)</f>
        <v>1</v>
      </c>
      <c r="R73" s="2" t="b">
        <f>AND(E73, H73)</f>
        <v>0</v>
      </c>
      <c r="T73" s="2">
        <f>SUM(B73, C73)</f>
        <v>100</v>
      </c>
      <c r="U73" s="2" t="b">
        <f t="shared" si="4"/>
        <v>0</v>
      </c>
      <c r="V73" s="2" t="b">
        <f t="shared" si="5"/>
        <v>1</v>
      </c>
      <c r="W73" s="2" t="str">
        <f t="shared" si="6"/>
        <v/>
      </c>
      <c r="X73" s="2">
        <f t="shared" si="7"/>
        <v>100</v>
      </c>
      <c r="Y73" s="2" t="b">
        <f>AND(ISODD(B73),ISODD(T73))</f>
        <v>0</v>
      </c>
      <c r="Z73" s="2" t="b">
        <f>AND(ISODD(B73),ISEVEN(T73))</f>
        <v>0</v>
      </c>
      <c r="AA73" s="2" t="b">
        <f>AND(ISEVEN(B73),ISODD(T73))</f>
        <v>0</v>
      </c>
      <c r="AB73" s="2" t="b">
        <f>AND(ISEVEN(B73),ISEVEN(T73))</f>
        <v>1</v>
      </c>
      <c r="AC73" s="2" t="str">
        <f>IF(AND(ISODD(B73),ISODD(T73)), B73, "")</f>
        <v/>
      </c>
      <c r="AD73" s="2" t="str">
        <f>IF(AND(ISODD(B73),ISEVEN(T73)), B73, "")</f>
        <v/>
      </c>
      <c r="AE73" s="2" t="str">
        <f>IF(AND(ISEVEN(B73),ISODD(T73)), B73, "")</f>
        <v/>
      </c>
      <c r="AF73" s="2">
        <f>IF(AND(ISEVEN(B73),ISEVEN(T73)), B73, "")</f>
        <v>72</v>
      </c>
      <c r="AG73" s="2" t="str">
        <f>IF(AND(ISODD(C73),ISODD(T73)), C73, "")</f>
        <v/>
      </c>
      <c r="AH73" s="2" t="str">
        <f>IF(AND(ISODD(C73),ISEVEN(T73)), C73, "")</f>
        <v/>
      </c>
      <c r="AI73" s="2" t="str">
        <f>IF(AND(ISEVEN(C73),ISODD(T73)), C73, "")</f>
        <v/>
      </c>
      <c r="AJ73" s="2">
        <f>IF(AND(ISEVEN(C73),ISEVEN(T73)), C73, "")</f>
        <v>28</v>
      </c>
      <c r="AK73" s="2" t="str">
        <f>IF(U73,B73, "")</f>
        <v/>
      </c>
      <c r="AL73" s="2">
        <f>IF(V73, B73, "")</f>
        <v>72</v>
      </c>
      <c r="AM73" s="2" t="str">
        <f>IF(U73, C73, "")</f>
        <v/>
      </c>
      <c r="AN73" s="2">
        <f>IF(V73, C73, "")</f>
        <v>28</v>
      </c>
    </row>
    <row r="74" spans="2:40" hidden="1" outlineLevel="1" x14ac:dyDescent="0.25">
      <c r="B74" s="2">
        <v>73</v>
      </c>
      <c r="C74" s="2">
        <v>20</v>
      </c>
      <c r="E74" s="2" t="b">
        <f>ISODD(B74)</f>
        <v>1</v>
      </c>
      <c r="F74" s="2" t="b">
        <f>ISEVEN(B74)</f>
        <v>0</v>
      </c>
      <c r="G74" s="2" t="b">
        <f>ISODD(C74)</f>
        <v>0</v>
      </c>
      <c r="H74" s="2" t="b">
        <f>ISEVEN(C74)</f>
        <v>1</v>
      </c>
      <c r="I74" s="2">
        <f>IF(E74, B74, "")</f>
        <v>73</v>
      </c>
      <c r="J74" s="2" t="str">
        <f>IF(F74, B74, "")</f>
        <v/>
      </c>
      <c r="K74" s="2" t="str">
        <f>IF(G74, C74, "")</f>
        <v/>
      </c>
      <c r="L74" s="2">
        <f>IF(H74, C74, "")</f>
        <v>20</v>
      </c>
      <c r="M74" s="2" t="b">
        <f>OR(AND(E74, G74), AND(F74, H74))</f>
        <v>0</v>
      </c>
      <c r="N74" s="2" t="b">
        <f>OR(AND(E74, H74), AND(F74, G74))</f>
        <v>1</v>
      </c>
      <c r="O74" s="2" t="b">
        <f>AND(E74, G74)</f>
        <v>0</v>
      </c>
      <c r="P74" s="2" t="b">
        <f>AND(F74, G74)</f>
        <v>0</v>
      </c>
      <c r="Q74" s="2" t="b">
        <f>AND(F74, H74)</f>
        <v>0</v>
      </c>
      <c r="R74" s="2" t="b">
        <f>AND(E74, H74)</f>
        <v>1</v>
      </c>
      <c r="T74" s="2">
        <f>SUM(B74, C74)</f>
        <v>93</v>
      </c>
      <c r="U74" s="2" t="b">
        <f t="shared" si="4"/>
        <v>1</v>
      </c>
      <c r="V74" s="2" t="b">
        <f t="shared" si="5"/>
        <v>0</v>
      </c>
      <c r="W74" s="2">
        <f t="shared" si="6"/>
        <v>93</v>
      </c>
      <c r="X74" s="2" t="str">
        <f t="shared" si="7"/>
        <v/>
      </c>
      <c r="Y74" s="2" t="b">
        <f>AND(ISODD(B74),ISODD(T74))</f>
        <v>1</v>
      </c>
      <c r="Z74" s="2" t="b">
        <f>AND(ISODD(B74),ISEVEN(T74))</f>
        <v>0</v>
      </c>
      <c r="AA74" s="2" t="b">
        <f>AND(ISEVEN(B74),ISODD(T74))</f>
        <v>0</v>
      </c>
      <c r="AB74" s="2" t="b">
        <f>AND(ISEVEN(B74),ISEVEN(T74))</f>
        <v>0</v>
      </c>
      <c r="AC74" s="2">
        <f>IF(AND(ISODD(B74),ISODD(T74)), B74, "")</f>
        <v>73</v>
      </c>
      <c r="AD74" s="2" t="str">
        <f>IF(AND(ISODD(B74),ISEVEN(T74)), B74, "")</f>
        <v/>
      </c>
      <c r="AE74" s="2" t="str">
        <f>IF(AND(ISEVEN(B74),ISODD(T74)), B74, "")</f>
        <v/>
      </c>
      <c r="AF74" s="2" t="str">
        <f>IF(AND(ISEVEN(B74),ISEVEN(T74)), B74, "")</f>
        <v/>
      </c>
      <c r="AG74" s="2" t="str">
        <f>IF(AND(ISODD(C74),ISODD(T74)), C74, "")</f>
        <v/>
      </c>
      <c r="AH74" s="2" t="str">
        <f>IF(AND(ISODD(C74),ISEVEN(T74)), C74, "")</f>
        <v/>
      </c>
      <c r="AI74" s="2">
        <f>IF(AND(ISEVEN(C74),ISODD(T74)), C74, "")</f>
        <v>20</v>
      </c>
      <c r="AJ74" s="2" t="str">
        <f>IF(AND(ISEVEN(C74),ISEVEN(T74)), C74, "")</f>
        <v/>
      </c>
      <c r="AK74" s="2">
        <f>IF(U74,B74, "")</f>
        <v>73</v>
      </c>
      <c r="AL74" s="2" t="str">
        <f>IF(V74, B74, "")</f>
        <v/>
      </c>
      <c r="AM74" s="2">
        <f>IF(U74, C74, "")</f>
        <v>20</v>
      </c>
      <c r="AN74" s="2" t="str">
        <f>IF(V74, C74, "")</f>
        <v/>
      </c>
    </row>
    <row r="75" spans="2:40" hidden="1" outlineLevel="1" x14ac:dyDescent="0.25">
      <c r="B75" s="2">
        <v>74</v>
      </c>
      <c r="C75" s="2">
        <v>56</v>
      </c>
      <c r="E75" s="2" t="b">
        <f>ISODD(B75)</f>
        <v>0</v>
      </c>
      <c r="F75" s="2" t="b">
        <f>ISEVEN(B75)</f>
        <v>1</v>
      </c>
      <c r="G75" s="2" t="b">
        <f>ISODD(C75)</f>
        <v>0</v>
      </c>
      <c r="H75" s="2" t="b">
        <f>ISEVEN(C75)</f>
        <v>1</v>
      </c>
      <c r="I75" s="2" t="str">
        <f>IF(E75, B75, "")</f>
        <v/>
      </c>
      <c r="J75" s="2">
        <f>IF(F75, B75, "")</f>
        <v>74</v>
      </c>
      <c r="K75" s="2" t="str">
        <f>IF(G75, C75, "")</f>
        <v/>
      </c>
      <c r="L75" s="2">
        <f>IF(H75, C75, "")</f>
        <v>56</v>
      </c>
      <c r="M75" s="2" t="b">
        <f>OR(AND(E75, G75), AND(F75, H75))</f>
        <v>1</v>
      </c>
      <c r="N75" s="2" t="b">
        <f>OR(AND(E75, H75), AND(F75, G75))</f>
        <v>0</v>
      </c>
      <c r="O75" s="2" t="b">
        <f>AND(E75, G75)</f>
        <v>0</v>
      </c>
      <c r="P75" s="2" t="b">
        <f>AND(F75, G75)</f>
        <v>0</v>
      </c>
      <c r="Q75" s="2" t="b">
        <f>AND(F75, H75)</f>
        <v>1</v>
      </c>
      <c r="R75" s="2" t="b">
        <f>AND(E75, H75)</f>
        <v>0</v>
      </c>
      <c r="T75" s="2">
        <f>SUM(B75, C75)</f>
        <v>130</v>
      </c>
      <c r="U75" s="2" t="b">
        <f t="shared" si="4"/>
        <v>0</v>
      </c>
      <c r="V75" s="2" t="b">
        <f t="shared" si="5"/>
        <v>1</v>
      </c>
      <c r="W75" s="2" t="str">
        <f t="shared" si="6"/>
        <v/>
      </c>
      <c r="X75" s="2">
        <f t="shared" si="7"/>
        <v>130</v>
      </c>
      <c r="Y75" s="2" t="b">
        <f>AND(ISODD(B75),ISODD(T75))</f>
        <v>0</v>
      </c>
      <c r="Z75" s="2" t="b">
        <f>AND(ISODD(B75),ISEVEN(T75))</f>
        <v>0</v>
      </c>
      <c r="AA75" s="2" t="b">
        <f>AND(ISEVEN(B75),ISODD(T75))</f>
        <v>0</v>
      </c>
      <c r="AB75" s="2" t="b">
        <f>AND(ISEVEN(B75),ISEVEN(T75))</f>
        <v>1</v>
      </c>
      <c r="AC75" s="2" t="str">
        <f>IF(AND(ISODD(B75),ISODD(T75)), B75, "")</f>
        <v/>
      </c>
      <c r="AD75" s="2" t="str">
        <f>IF(AND(ISODD(B75),ISEVEN(T75)), B75, "")</f>
        <v/>
      </c>
      <c r="AE75" s="2" t="str">
        <f>IF(AND(ISEVEN(B75),ISODD(T75)), B75, "")</f>
        <v/>
      </c>
      <c r="AF75" s="2">
        <f>IF(AND(ISEVEN(B75),ISEVEN(T75)), B75, "")</f>
        <v>74</v>
      </c>
      <c r="AG75" s="2" t="str">
        <f>IF(AND(ISODD(C75),ISODD(T75)), C75, "")</f>
        <v/>
      </c>
      <c r="AH75" s="2" t="str">
        <f>IF(AND(ISODD(C75),ISEVEN(T75)), C75, "")</f>
        <v/>
      </c>
      <c r="AI75" s="2" t="str">
        <f>IF(AND(ISEVEN(C75),ISODD(T75)), C75, "")</f>
        <v/>
      </c>
      <c r="AJ75" s="2">
        <f>IF(AND(ISEVEN(C75),ISEVEN(T75)), C75, "")</f>
        <v>56</v>
      </c>
      <c r="AK75" s="2" t="str">
        <f>IF(U75,B75, "")</f>
        <v/>
      </c>
      <c r="AL75" s="2">
        <f>IF(V75, B75, "")</f>
        <v>74</v>
      </c>
      <c r="AM75" s="2" t="str">
        <f>IF(U75, C75, "")</f>
        <v/>
      </c>
      <c r="AN75" s="2">
        <f>IF(V75, C75, "")</f>
        <v>56</v>
      </c>
    </row>
    <row r="76" spans="2:40" hidden="1" outlineLevel="1" x14ac:dyDescent="0.25">
      <c r="B76" s="2">
        <v>75</v>
      </c>
      <c r="C76" s="2">
        <v>40</v>
      </c>
      <c r="E76" s="2" t="b">
        <f>ISODD(B76)</f>
        <v>1</v>
      </c>
      <c r="F76" s="2" t="b">
        <f>ISEVEN(B76)</f>
        <v>0</v>
      </c>
      <c r="G76" s="2" t="b">
        <f>ISODD(C76)</f>
        <v>0</v>
      </c>
      <c r="H76" s="2" t="b">
        <f>ISEVEN(C76)</f>
        <v>1</v>
      </c>
      <c r="I76" s="2">
        <f>IF(E76, B76, "")</f>
        <v>75</v>
      </c>
      <c r="J76" s="2" t="str">
        <f>IF(F76, B76, "")</f>
        <v/>
      </c>
      <c r="K76" s="2" t="str">
        <f>IF(G76, C76, "")</f>
        <v/>
      </c>
      <c r="L76" s="2">
        <f>IF(H76, C76, "")</f>
        <v>40</v>
      </c>
      <c r="M76" s="2" t="b">
        <f>OR(AND(E76, G76), AND(F76, H76))</f>
        <v>0</v>
      </c>
      <c r="N76" s="2" t="b">
        <f>OR(AND(E76, H76), AND(F76, G76))</f>
        <v>1</v>
      </c>
      <c r="O76" s="2" t="b">
        <f>AND(E76, G76)</f>
        <v>0</v>
      </c>
      <c r="P76" s="2" t="b">
        <f>AND(F76, G76)</f>
        <v>0</v>
      </c>
      <c r="Q76" s="2" t="b">
        <f>AND(F76, H76)</f>
        <v>0</v>
      </c>
      <c r="R76" s="2" t="b">
        <f>AND(E76, H76)</f>
        <v>1</v>
      </c>
      <c r="T76" s="2">
        <f>SUM(B76, C76)</f>
        <v>115</v>
      </c>
      <c r="U76" s="2" t="b">
        <f t="shared" si="4"/>
        <v>1</v>
      </c>
      <c r="V76" s="2" t="b">
        <f t="shared" si="5"/>
        <v>0</v>
      </c>
      <c r="W76" s="2">
        <f t="shared" si="6"/>
        <v>115</v>
      </c>
      <c r="X76" s="2" t="str">
        <f t="shared" si="7"/>
        <v/>
      </c>
      <c r="Y76" s="2" t="b">
        <f>AND(ISODD(B76),ISODD(T76))</f>
        <v>1</v>
      </c>
      <c r="Z76" s="2" t="b">
        <f>AND(ISODD(B76),ISEVEN(T76))</f>
        <v>0</v>
      </c>
      <c r="AA76" s="2" t="b">
        <f>AND(ISEVEN(B76),ISODD(T76))</f>
        <v>0</v>
      </c>
      <c r="AB76" s="2" t="b">
        <f>AND(ISEVEN(B76),ISEVEN(T76))</f>
        <v>0</v>
      </c>
      <c r="AC76" s="2">
        <f>IF(AND(ISODD(B76),ISODD(T76)), B76, "")</f>
        <v>75</v>
      </c>
      <c r="AD76" s="2" t="str">
        <f>IF(AND(ISODD(B76),ISEVEN(T76)), B76, "")</f>
        <v/>
      </c>
      <c r="AE76" s="2" t="str">
        <f>IF(AND(ISEVEN(B76),ISODD(T76)), B76, "")</f>
        <v/>
      </c>
      <c r="AF76" s="2" t="str">
        <f>IF(AND(ISEVEN(B76),ISEVEN(T76)), B76, "")</f>
        <v/>
      </c>
      <c r="AG76" s="2" t="str">
        <f>IF(AND(ISODD(C76),ISODD(T76)), C76, "")</f>
        <v/>
      </c>
      <c r="AH76" s="2" t="str">
        <f>IF(AND(ISODD(C76),ISEVEN(T76)), C76, "")</f>
        <v/>
      </c>
      <c r="AI76" s="2">
        <f>IF(AND(ISEVEN(C76),ISODD(T76)), C76, "")</f>
        <v>40</v>
      </c>
      <c r="AJ76" s="2" t="str">
        <f>IF(AND(ISEVEN(C76),ISEVEN(T76)), C76, "")</f>
        <v/>
      </c>
      <c r="AK76" s="2">
        <f>IF(U76,B76, "")</f>
        <v>75</v>
      </c>
      <c r="AL76" s="2" t="str">
        <f>IF(V76, B76, "")</f>
        <v/>
      </c>
      <c r="AM76" s="2">
        <f>IF(U76, C76, "")</f>
        <v>40</v>
      </c>
      <c r="AN76" s="2" t="str">
        <f>IF(V76, C76, "")</f>
        <v/>
      </c>
    </row>
    <row r="77" spans="2:40" hidden="1" outlineLevel="1" x14ac:dyDescent="0.25">
      <c r="B77" s="2">
        <v>76</v>
      </c>
      <c r="C77" s="2">
        <v>31</v>
      </c>
      <c r="E77" s="2" t="b">
        <f>ISODD(B77)</f>
        <v>0</v>
      </c>
      <c r="F77" s="2" t="b">
        <f>ISEVEN(B77)</f>
        <v>1</v>
      </c>
      <c r="G77" s="2" t="b">
        <f>ISODD(C77)</f>
        <v>1</v>
      </c>
      <c r="H77" s="2" t="b">
        <f>ISEVEN(C77)</f>
        <v>0</v>
      </c>
      <c r="I77" s="2" t="str">
        <f>IF(E77, B77, "")</f>
        <v/>
      </c>
      <c r="J77" s="2">
        <f>IF(F77, B77, "")</f>
        <v>76</v>
      </c>
      <c r="K77" s="2">
        <f>IF(G77, C77, "")</f>
        <v>31</v>
      </c>
      <c r="L77" s="2" t="str">
        <f>IF(H77, C77, "")</f>
        <v/>
      </c>
      <c r="M77" s="2" t="b">
        <f>OR(AND(E77, G77), AND(F77, H77))</f>
        <v>0</v>
      </c>
      <c r="N77" s="2" t="b">
        <f>OR(AND(E77, H77), AND(F77, G77))</f>
        <v>1</v>
      </c>
      <c r="O77" s="2" t="b">
        <f>AND(E77, G77)</f>
        <v>0</v>
      </c>
      <c r="P77" s="2" t="b">
        <f>AND(F77, G77)</f>
        <v>1</v>
      </c>
      <c r="Q77" s="2" t="b">
        <f>AND(F77, H77)</f>
        <v>0</v>
      </c>
      <c r="R77" s="2" t="b">
        <f>AND(E77, H77)</f>
        <v>0</v>
      </c>
      <c r="T77" s="2">
        <f>SUM(B77, C77)</f>
        <v>107</v>
      </c>
      <c r="U77" s="2" t="b">
        <f t="shared" si="4"/>
        <v>1</v>
      </c>
      <c r="V77" s="2" t="b">
        <f t="shared" si="5"/>
        <v>0</v>
      </c>
      <c r="W77" s="2">
        <f t="shared" si="6"/>
        <v>107</v>
      </c>
      <c r="X77" s="2" t="str">
        <f t="shared" si="7"/>
        <v/>
      </c>
      <c r="Y77" s="2" t="b">
        <f>AND(ISODD(B77),ISODD(T77))</f>
        <v>0</v>
      </c>
      <c r="Z77" s="2" t="b">
        <f>AND(ISODD(B77),ISEVEN(T77))</f>
        <v>0</v>
      </c>
      <c r="AA77" s="2" t="b">
        <f>AND(ISEVEN(B77),ISODD(T77))</f>
        <v>1</v>
      </c>
      <c r="AB77" s="2" t="b">
        <f>AND(ISEVEN(B77),ISEVEN(T77))</f>
        <v>0</v>
      </c>
      <c r="AC77" s="2" t="str">
        <f>IF(AND(ISODD(B77),ISODD(T77)), B77, "")</f>
        <v/>
      </c>
      <c r="AD77" s="2" t="str">
        <f>IF(AND(ISODD(B77),ISEVEN(T77)), B77, "")</f>
        <v/>
      </c>
      <c r="AE77" s="2">
        <f>IF(AND(ISEVEN(B77),ISODD(T77)), B77, "")</f>
        <v>76</v>
      </c>
      <c r="AF77" s="2" t="str">
        <f>IF(AND(ISEVEN(B77),ISEVEN(T77)), B77, "")</f>
        <v/>
      </c>
      <c r="AG77" s="2">
        <f>IF(AND(ISODD(C77),ISODD(T77)), C77, "")</f>
        <v>31</v>
      </c>
      <c r="AH77" s="2" t="str">
        <f>IF(AND(ISODD(C77),ISEVEN(T77)), C77, "")</f>
        <v/>
      </c>
      <c r="AI77" s="2" t="str">
        <f>IF(AND(ISEVEN(C77),ISODD(T77)), C77, "")</f>
        <v/>
      </c>
      <c r="AJ77" s="2" t="str">
        <f>IF(AND(ISEVEN(C77),ISEVEN(T77)), C77, "")</f>
        <v/>
      </c>
      <c r="AK77" s="2">
        <f>IF(U77,B77, "")</f>
        <v>76</v>
      </c>
      <c r="AL77" s="2" t="str">
        <f>IF(V77, B77, "")</f>
        <v/>
      </c>
      <c r="AM77" s="2">
        <f>IF(U77, C77, "")</f>
        <v>31</v>
      </c>
      <c r="AN77" s="2" t="str">
        <f>IF(V77, C77, "")</f>
        <v/>
      </c>
    </row>
    <row r="78" spans="2:40" hidden="1" outlineLevel="1" x14ac:dyDescent="0.25">
      <c r="B78" s="2">
        <v>77</v>
      </c>
      <c r="C78" s="2">
        <v>50</v>
      </c>
      <c r="E78" s="2" t="b">
        <f>ISODD(B78)</f>
        <v>1</v>
      </c>
      <c r="F78" s="2" t="b">
        <f>ISEVEN(B78)</f>
        <v>0</v>
      </c>
      <c r="G78" s="2" t="b">
        <f>ISODD(C78)</f>
        <v>0</v>
      </c>
      <c r="H78" s="2" t="b">
        <f>ISEVEN(C78)</f>
        <v>1</v>
      </c>
      <c r="I78" s="2">
        <f>IF(E78, B78, "")</f>
        <v>77</v>
      </c>
      <c r="J78" s="2" t="str">
        <f>IF(F78, B78, "")</f>
        <v/>
      </c>
      <c r="K78" s="2" t="str">
        <f>IF(G78, C78, "")</f>
        <v/>
      </c>
      <c r="L78" s="2">
        <f>IF(H78, C78, "")</f>
        <v>50</v>
      </c>
      <c r="M78" s="2" t="b">
        <f>OR(AND(E78, G78), AND(F78, H78))</f>
        <v>0</v>
      </c>
      <c r="N78" s="2" t="b">
        <f>OR(AND(E78, H78), AND(F78, G78))</f>
        <v>1</v>
      </c>
      <c r="O78" s="2" t="b">
        <f>AND(E78, G78)</f>
        <v>0</v>
      </c>
      <c r="P78" s="2" t="b">
        <f>AND(F78, G78)</f>
        <v>0</v>
      </c>
      <c r="Q78" s="2" t="b">
        <f>AND(F78, H78)</f>
        <v>0</v>
      </c>
      <c r="R78" s="2" t="b">
        <f>AND(E78, H78)</f>
        <v>1</v>
      </c>
      <c r="T78" s="2">
        <f>SUM(B78, C78)</f>
        <v>127</v>
      </c>
      <c r="U78" s="2" t="b">
        <f t="shared" si="4"/>
        <v>1</v>
      </c>
      <c r="V78" s="2" t="b">
        <f t="shared" si="5"/>
        <v>0</v>
      </c>
      <c r="W78" s="2">
        <f t="shared" si="6"/>
        <v>127</v>
      </c>
      <c r="X78" s="2" t="str">
        <f t="shared" si="7"/>
        <v/>
      </c>
      <c r="Y78" s="2" t="b">
        <f>AND(ISODD(B78),ISODD(T78))</f>
        <v>1</v>
      </c>
      <c r="Z78" s="2" t="b">
        <f>AND(ISODD(B78),ISEVEN(T78))</f>
        <v>0</v>
      </c>
      <c r="AA78" s="2" t="b">
        <f>AND(ISEVEN(B78),ISODD(T78))</f>
        <v>0</v>
      </c>
      <c r="AB78" s="2" t="b">
        <f>AND(ISEVEN(B78),ISEVEN(T78))</f>
        <v>0</v>
      </c>
      <c r="AC78" s="2">
        <f>IF(AND(ISODD(B78),ISODD(T78)), B78, "")</f>
        <v>77</v>
      </c>
      <c r="AD78" s="2" t="str">
        <f>IF(AND(ISODD(B78),ISEVEN(T78)), B78, "")</f>
        <v/>
      </c>
      <c r="AE78" s="2" t="str">
        <f>IF(AND(ISEVEN(B78),ISODD(T78)), B78, "")</f>
        <v/>
      </c>
      <c r="AF78" s="2" t="str">
        <f>IF(AND(ISEVEN(B78),ISEVEN(T78)), B78, "")</f>
        <v/>
      </c>
      <c r="AG78" s="2" t="str">
        <f>IF(AND(ISODD(C78),ISODD(T78)), C78, "")</f>
        <v/>
      </c>
      <c r="AH78" s="2" t="str">
        <f>IF(AND(ISODD(C78),ISEVEN(T78)), C78, "")</f>
        <v/>
      </c>
      <c r="AI78" s="2">
        <f>IF(AND(ISEVEN(C78),ISODD(T78)), C78, "")</f>
        <v>50</v>
      </c>
      <c r="AJ78" s="2" t="str">
        <f>IF(AND(ISEVEN(C78),ISEVEN(T78)), C78, "")</f>
        <v/>
      </c>
      <c r="AK78" s="2">
        <f>IF(U78,B78, "")</f>
        <v>77</v>
      </c>
      <c r="AL78" s="2" t="str">
        <f>IF(V78, B78, "")</f>
        <v/>
      </c>
      <c r="AM78" s="2">
        <f>IF(U78, C78, "")</f>
        <v>50</v>
      </c>
      <c r="AN78" s="2" t="str">
        <f>IF(V78, C78, "")</f>
        <v/>
      </c>
    </row>
    <row r="79" spans="2:40" hidden="1" outlineLevel="1" x14ac:dyDescent="0.25">
      <c r="B79" s="2">
        <v>78</v>
      </c>
      <c r="C79" s="2">
        <v>40</v>
      </c>
      <c r="E79" s="2" t="b">
        <f>ISODD(B79)</f>
        <v>0</v>
      </c>
      <c r="F79" s="2" t="b">
        <f>ISEVEN(B79)</f>
        <v>1</v>
      </c>
      <c r="G79" s="2" t="b">
        <f>ISODD(C79)</f>
        <v>0</v>
      </c>
      <c r="H79" s="2" t="b">
        <f>ISEVEN(C79)</f>
        <v>1</v>
      </c>
      <c r="I79" s="2" t="str">
        <f>IF(E79, B79, "")</f>
        <v/>
      </c>
      <c r="J79" s="2">
        <f>IF(F79, B79, "")</f>
        <v>78</v>
      </c>
      <c r="K79" s="2" t="str">
        <f>IF(G79, C79, "")</f>
        <v/>
      </c>
      <c r="L79" s="2">
        <f>IF(H79, C79, "")</f>
        <v>40</v>
      </c>
      <c r="M79" s="2" t="b">
        <f>OR(AND(E79, G79), AND(F79, H79))</f>
        <v>1</v>
      </c>
      <c r="N79" s="2" t="b">
        <f>OR(AND(E79, H79), AND(F79, G79))</f>
        <v>0</v>
      </c>
      <c r="O79" s="2" t="b">
        <f>AND(E79, G79)</f>
        <v>0</v>
      </c>
      <c r="P79" s="2" t="b">
        <f>AND(F79, G79)</f>
        <v>0</v>
      </c>
      <c r="Q79" s="2" t="b">
        <f>AND(F79, H79)</f>
        <v>1</v>
      </c>
      <c r="R79" s="2" t="b">
        <f>AND(E79, H79)</f>
        <v>0</v>
      </c>
      <c r="T79" s="2">
        <f>SUM(B79, C79)</f>
        <v>118</v>
      </c>
      <c r="U79" s="2" t="b">
        <f t="shared" si="4"/>
        <v>0</v>
      </c>
      <c r="V79" s="2" t="b">
        <f t="shared" si="5"/>
        <v>1</v>
      </c>
      <c r="W79" s="2" t="str">
        <f t="shared" si="6"/>
        <v/>
      </c>
      <c r="X79" s="2">
        <f t="shared" si="7"/>
        <v>118</v>
      </c>
      <c r="Y79" s="2" t="b">
        <f>AND(ISODD(B79),ISODD(T79))</f>
        <v>0</v>
      </c>
      <c r="Z79" s="2" t="b">
        <f>AND(ISODD(B79),ISEVEN(T79))</f>
        <v>0</v>
      </c>
      <c r="AA79" s="2" t="b">
        <f>AND(ISEVEN(B79),ISODD(T79))</f>
        <v>0</v>
      </c>
      <c r="AB79" s="2" t="b">
        <f>AND(ISEVEN(B79),ISEVEN(T79))</f>
        <v>1</v>
      </c>
      <c r="AC79" s="2" t="str">
        <f>IF(AND(ISODD(B79),ISODD(T79)), B79, "")</f>
        <v/>
      </c>
      <c r="AD79" s="2" t="str">
        <f>IF(AND(ISODD(B79),ISEVEN(T79)), B79, "")</f>
        <v/>
      </c>
      <c r="AE79" s="2" t="str">
        <f>IF(AND(ISEVEN(B79),ISODD(T79)), B79, "")</f>
        <v/>
      </c>
      <c r="AF79" s="2">
        <f>IF(AND(ISEVEN(B79),ISEVEN(T79)), B79, "")</f>
        <v>78</v>
      </c>
      <c r="AG79" s="2" t="str">
        <f>IF(AND(ISODD(C79),ISODD(T79)), C79, "")</f>
        <v/>
      </c>
      <c r="AH79" s="2" t="str">
        <f>IF(AND(ISODD(C79),ISEVEN(T79)), C79, "")</f>
        <v/>
      </c>
      <c r="AI79" s="2" t="str">
        <f>IF(AND(ISEVEN(C79),ISODD(T79)), C79, "")</f>
        <v/>
      </c>
      <c r="AJ79" s="2">
        <f>IF(AND(ISEVEN(C79),ISEVEN(T79)), C79, "")</f>
        <v>40</v>
      </c>
      <c r="AK79" s="2" t="str">
        <f>IF(U79,B79, "")</f>
        <v/>
      </c>
      <c r="AL79" s="2">
        <f>IF(V79, B79, "")</f>
        <v>78</v>
      </c>
      <c r="AM79" s="2" t="str">
        <f>IF(U79, C79, "")</f>
        <v/>
      </c>
      <c r="AN79" s="2">
        <f>IF(V79, C79, "")</f>
        <v>40</v>
      </c>
    </row>
    <row r="80" spans="2:40" hidden="1" outlineLevel="1" x14ac:dyDescent="0.25">
      <c r="B80" s="2">
        <v>79</v>
      </c>
      <c r="C80" s="2">
        <v>46</v>
      </c>
      <c r="E80" s="2" t="b">
        <f>ISODD(B80)</f>
        <v>1</v>
      </c>
      <c r="F80" s="2" t="b">
        <f>ISEVEN(B80)</f>
        <v>0</v>
      </c>
      <c r="G80" s="2" t="b">
        <f>ISODD(C80)</f>
        <v>0</v>
      </c>
      <c r="H80" s="2" t="b">
        <f>ISEVEN(C80)</f>
        <v>1</v>
      </c>
      <c r="I80" s="2">
        <f>IF(E80, B80, "")</f>
        <v>79</v>
      </c>
      <c r="J80" s="2" t="str">
        <f>IF(F80, B80, "")</f>
        <v/>
      </c>
      <c r="K80" s="2" t="str">
        <f>IF(G80, C80, "")</f>
        <v/>
      </c>
      <c r="L80" s="2">
        <f>IF(H80, C80, "")</f>
        <v>46</v>
      </c>
      <c r="M80" s="2" t="b">
        <f>OR(AND(E80, G80), AND(F80, H80))</f>
        <v>0</v>
      </c>
      <c r="N80" s="2" t="b">
        <f>OR(AND(E80, H80), AND(F80, G80))</f>
        <v>1</v>
      </c>
      <c r="O80" s="2" t="b">
        <f>AND(E80, G80)</f>
        <v>0</v>
      </c>
      <c r="P80" s="2" t="b">
        <f>AND(F80, G80)</f>
        <v>0</v>
      </c>
      <c r="Q80" s="2" t="b">
        <f>AND(F80, H80)</f>
        <v>0</v>
      </c>
      <c r="R80" s="2" t="b">
        <f>AND(E80, H80)</f>
        <v>1</v>
      </c>
      <c r="T80" s="2">
        <f>SUM(B80, C80)</f>
        <v>125</v>
      </c>
      <c r="U80" s="2" t="b">
        <f t="shared" si="4"/>
        <v>1</v>
      </c>
      <c r="V80" s="2" t="b">
        <f t="shared" si="5"/>
        <v>0</v>
      </c>
      <c r="W80" s="2">
        <f t="shared" si="6"/>
        <v>125</v>
      </c>
      <c r="X80" s="2" t="str">
        <f t="shared" si="7"/>
        <v/>
      </c>
      <c r="Y80" s="2" t="b">
        <f>AND(ISODD(B80),ISODD(T80))</f>
        <v>1</v>
      </c>
      <c r="Z80" s="2" t="b">
        <f>AND(ISODD(B80),ISEVEN(T80))</f>
        <v>0</v>
      </c>
      <c r="AA80" s="2" t="b">
        <f>AND(ISEVEN(B80),ISODD(T80))</f>
        <v>0</v>
      </c>
      <c r="AB80" s="2" t="b">
        <f>AND(ISEVEN(B80),ISEVEN(T80))</f>
        <v>0</v>
      </c>
      <c r="AC80" s="2">
        <f>IF(AND(ISODD(B80),ISODD(T80)), B80, "")</f>
        <v>79</v>
      </c>
      <c r="AD80" s="2" t="str">
        <f>IF(AND(ISODD(B80),ISEVEN(T80)), B80, "")</f>
        <v/>
      </c>
      <c r="AE80" s="2" t="str">
        <f>IF(AND(ISEVEN(B80),ISODD(T80)), B80, "")</f>
        <v/>
      </c>
      <c r="AF80" s="2" t="str">
        <f>IF(AND(ISEVEN(B80),ISEVEN(T80)), B80, "")</f>
        <v/>
      </c>
      <c r="AG80" s="2" t="str">
        <f>IF(AND(ISODD(C80),ISODD(T80)), C80, "")</f>
        <v/>
      </c>
      <c r="AH80" s="2" t="str">
        <f>IF(AND(ISODD(C80),ISEVEN(T80)), C80, "")</f>
        <v/>
      </c>
      <c r="AI80" s="2">
        <f>IF(AND(ISEVEN(C80),ISODD(T80)), C80, "")</f>
        <v>46</v>
      </c>
      <c r="AJ80" s="2" t="str">
        <f>IF(AND(ISEVEN(C80),ISEVEN(T80)), C80, "")</f>
        <v/>
      </c>
      <c r="AK80" s="2">
        <f>IF(U80,B80, "")</f>
        <v>79</v>
      </c>
      <c r="AL80" s="2" t="str">
        <f>IF(V80, B80, "")</f>
        <v/>
      </c>
      <c r="AM80" s="2">
        <f>IF(U80, C80, "")</f>
        <v>46</v>
      </c>
      <c r="AN80" s="2" t="str">
        <f>IF(V80, C80, "")</f>
        <v/>
      </c>
    </row>
    <row r="81" spans="2:40" hidden="1" outlineLevel="1" x14ac:dyDescent="0.25">
      <c r="B81" s="2">
        <v>80</v>
      </c>
      <c r="C81" s="2">
        <v>42</v>
      </c>
      <c r="E81" s="2" t="b">
        <f>ISODD(B81)</f>
        <v>0</v>
      </c>
      <c r="F81" s="2" t="b">
        <f>ISEVEN(B81)</f>
        <v>1</v>
      </c>
      <c r="G81" s="2" t="b">
        <f>ISODD(C81)</f>
        <v>0</v>
      </c>
      <c r="H81" s="2" t="b">
        <f>ISEVEN(C81)</f>
        <v>1</v>
      </c>
      <c r="I81" s="2" t="str">
        <f>IF(E81, B81, "")</f>
        <v/>
      </c>
      <c r="J81" s="2">
        <f>IF(F81, B81, "")</f>
        <v>80</v>
      </c>
      <c r="K81" s="2" t="str">
        <f>IF(G81, C81, "")</f>
        <v/>
      </c>
      <c r="L81" s="2">
        <f>IF(H81, C81, "")</f>
        <v>42</v>
      </c>
      <c r="M81" s="2" t="b">
        <f>OR(AND(E81, G81), AND(F81, H81))</f>
        <v>1</v>
      </c>
      <c r="N81" s="2" t="b">
        <f>OR(AND(E81, H81), AND(F81, G81))</f>
        <v>0</v>
      </c>
      <c r="O81" s="2" t="b">
        <f>AND(E81, G81)</f>
        <v>0</v>
      </c>
      <c r="P81" s="2" t="b">
        <f>AND(F81, G81)</f>
        <v>0</v>
      </c>
      <c r="Q81" s="2" t="b">
        <f>AND(F81, H81)</f>
        <v>1</v>
      </c>
      <c r="R81" s="2" t="b">
        <f>AND(E81, H81)</f>
        <v>0</v>
      </c>
      <c r="T81" s="2">
        <f>SUM(B81, C81)</f>
        <v>122</v>
      </c>
      <c r="U81" s="2" t="b">
        <f t="shared" si="4"/>
        <v>0</v>
      </c>
      <c r="V81" s="2" t="b">
        <f t="shared" si="5"/>
        <v>1</v>
      </c>
      <c r="W81" s="2" t="str">
        <f t="shared" si="6"/>
        <v/>
      </c>
      <c r="X81" s="2">
        <f t="shared" si="7"/>
        <v>122</v>
      </c>
      <c r="Y81" s="2" t="b">
        <f>AND(ISODD(B81),ISODD(T81))</f>
        <v>0</v>
      </c>
      <c r="Z81" s="2" t="b">
        <f>AND(ISODD(B81),ISEVEN(T81))</f>
        <v>0</v>
      </c>
      <c r="AA81" s="2" t="b">
        <f>AND(ISEVEN(B81),ISODD(T81))</f>
        <v>0</v>
      </c>
      <c r="AB81" s="2" t="b">
        <f>AND(ISEVEN(B81),ISEVEN(T81))</f>
        <v>1</v>
      </c>
      <c r="AC81" s="2" t="str">
        <f>IF(AND(ISODD(B81),ISODD(T81)), B81, "")</f>
        <v/>
      </c>
      <c r="AD81" s="2" t="str">
        <f>IF(AND(ISODD(B81),ISEVEN(T81)), B81, "")</f>
        <v/>
      </c>
      <c r="AE81" s="2" t="str">
        <f>IF(AND(ISEVEN(B81),ISODD(T81)), B81, "")</f>
        <v/>
      </c>
      <c r="AF81" s="2">
        <f>IF(AND(ISEVEN(B81),ISEVEN(T81)), B81, "")</f>
        <v>80</v>
      </c>
      <c r="AG81" s="2" t="str">
        <f>IF(AND(ISODD(C81),ISODD(T81)), C81, "")</f>
        <v/>
      </c>
      <c r="AH81" s="2" t="str">
        <f>IF(AND(ISODD(C81),ISEVEN(T81)), C81, "")</f>
        <v/>
      </c>
      <c r="AI81" s="2" t="str">
        <f>IF(AND(ISEVEN(C81),ISODD(T81)), C81, "")</f>
        <v/>
      </c>
      <c r="AJ81" s="2">
        <f>IF(AND(ISEVEN(C81),ISEVEN(T81)), C81, "")</f>
        <v>42</v>
      </c>
      <c r="AK81" s="2" t="str">
        <f>IF(U81,B81, "")</f>
        <v/>
      </c>
      <c r="AL81" s="2">
        <f>IF(V81, B81, "")</f>
        <v>80</v>
      </c>
      <c r="AM81" s="2" t="str">
        <f>IF(U81, C81, "")</f>
        <v/>
      </c>
      <c r="AN81" s="2">
        <f>IF(V81, C81, "")</f>
        <v>42</v>
      </c>
    </row>
    <row r="82" spans="2:40" hidden="1" outlineLevel="1" x14ac:dyDescent="0.25">
      <c r="B82" s="2">
        <v>81</v>
      </c>
      <c r="C82" s="2">
        <v>29</v>
      </c>
      <c r="E82" s="2" t="b">
        <f>ISODD(B82)</f>
        <v>1</v>
      </c>
      <c r="F82" s="2" t="b">
        <f>ISEVEN(B82)</f>
        <v>0</v>
      </c>
      <c r="G82" s="2" t="b">
        <f>ISODD(C82)</f>
        <v>1</v>
      </c>
      <c r="H82" s="2" t="b">
        <f>ISEVEN(C82)</f>
        <v>0</v>
      </c>
      <c r="I82" s="2">
        <f>IF(E82, B82, "")</f>
        <v>81</v>
      </c>
      <c r="J82" s="2" t="str">
        <f>IF(F82, B82, "")</f>
        <v/>
      </c>
      <c r="K82" s="2">
        <f>IF(G82, C82, "")</f>
        <v>29</v>
      </c>
      <c r="L82" s="2" t="str">
        <f>IF(H82, C82, "")</f>
        <v/>
      </c>
      <c r="M82" s="2" t="b">
        <f>OR(AND(E82, G82), AND(F82, H82))</f>
        <v>1</v>
      </c>
      <c r="N82" s="2" t="b">
        <f>OR(AND(E82, H82), AND(F82, G82))</f>
        <v>0</v>
      </c>
      <c r="O82" s="2" t="b">
        <f>AND(E82, G82)</f>
        <v>1</v>
      </c>
      <c r="P82" s="2" t="b">
        <f>AND(F82, G82)</f>
        <v>0</v>
      </c>
      <c r="Q82" s="2" t="b">
        <f>AND(F82, H82)</f>
        <v>0</v>
      </c>
      <c r="R82" s="2" t="b">
        <f>AND(E82, H82)</f>
        <v>0</v>
      </c>
      <c r="T82" s="2">
        <f>SUM(B82, C82)</f>
        <v>110</v>
      </c>
      <c r="U82" s="2" t="b">
        <f t="shared" si="4"/>
        <v>0</v>
      </c>
      <c r="V82" s="2" t="b">
        <f t="shared" si="5"/>
        <v>1</v>
      </c>
      <c r="W82" s="2" t="str">
        <f t="shared" si="6"/>
        <v/>
      </c>
      <c r="X82" s="2">
        <f t="shared" si="7"/>
        <v>110</v>
      </c>
      <c r="Y82" s="2" t="b">
        <f>AND(ISODD(B82),ISODD(T82))</f>
        <v>0</v>
      </c>
      <c r="Z82" s="2" t="b">
        <f>AND(ISODD(B82),ISEVEN(T82))</f>
        <v>1</v>
      </c>
      <c r="AA82" s="2" t="b">
        <f>AND(ISEVEN(B82),ISODD(T82))</f>
        <v>0</v>
      </c>
      <c r="AB82" s="2" t="b">
        <f>AND(ISEVEN(B82),ISEVEN(T82))</f>
        <v>0</v>
      </c>
      <c r="AC82" s="2" t="str">
        <f>IF(AND(ISODD(B82),ISODD(T82)), B82, "")</f>
        <v/>
      </c>
      <c r="AD82" s="2">
        <f>IF(AND(ISODD(B82),ISEVEN(T82)), B82, "")</f>
        <v>81</v>
      </c>
      <c r="AE82" s="2" t="str">
        <f>IF(AND(ISEVEN(B82),ISODD(T82)), B82, "")</f>
        <v/>
      </c>
      <c r="AF82" s="2" t="str">
        <f>IF(AND(ISEVEN(B82),ISEVEN(T82)), B82, "")</f>
        <v/>
      </c>
      <c r="AG82" s="2" t="str">
        <f>IF(AND(ISODD(C82),ISODD(T82)), C82, "")</f>
        <v/>
      </c>
      <c r="AH82" s="2">
        <f>IF(AND(ISODD(C82),ISEVEN(T82)), C82, "")</f>
        <v>29</v>
      </c>
      <c r="AI82" s="2" t="str">
        <f>IF(AND(ISEVEN(C82),ISODD(T82)), C82, "")</f>
        <v/>
      </c>
      <c r="AJ82" s="2" t="str">
        <f>IF(AND(ISEVEN(C82),ISEVEN(T82)), C82, "")</f>
        <v/>
      </c>
      <c r="AK82" s="2" t="str">
        <f>IF(U82,B82, "")</f>
        <v/>
      </c>
      <c r="AL82" s="2">
        <f>IF(V82, B82, "")</f>
        <v>81</v>
      </c>
      <c r="AM82" s="2" t="str">
        <f>IF(U82, C82, "")</f>
        <v/>
      </c>
      <c r="AN82" s="2">
        <f>IF(V82, C82, "")</f>
        <v>29</v>
      </c>
    </row>
    <row r="83" spans="2:40" hidden="1" outlineLevel="1" x14ac:dyDescent="0.25">
      <c r="B83" s="2">
        <v>82</v>
      </c>
      <c r="C83" s="2">
        <v>19</v>
      </c>
      <c r="E83" s="2" t="b">
        <f>ISODD(B83)</f>
        <v>0</v>
      </c>
      <c r="F83" s="2" t="b">
        <f>ISEVEN(B83)</f>
        <v>1</v>
      </c>
      <c r="G83" s="2" t="b">
        <f>ISODD(C83)</f>
        <v>1</v>
      </c>
      <c r="H83" s="2" t="b">
        <f>ISEVEN(C83)</f>
        <v>0</v>
      </c>
      <c r="I83" s="2" t="str">
        <f>IF(E83, B83, "")</f>
        <v/>
      </c>
      <c r="J83" s="2">
        <f>IF(F83, B83, "")</f>
        <v>82</v>
      </c>
      <c r="K83" s="2">
        <f>IF(G83, C83, "")</f>
        <v>19</v>
      </c>
      <c r="L83" s="2" t="str">
        <f>IF(H83, C83, "")</f>
        <v/>
      </c>
      <c r="M83" s="2" t="b">
        <f>OR(AND(E83, G83), AND(F83, H83))</f>
        <v>0</v>
      </c>
      <c r="N83" s="2" t="b">
        <f>OR(AND(E83, H83), AND(F83, G83))</f>
        <v>1</v>
      </c>
      <c r="O83" s="2" t="b">
        <f>AND(E83, G83)</f>
        <v>0</v>
      </c>
      <c r="P83" s="2" t="b">
        <f>AND(F83, G83)</f>
        <v>1</v>
      </c>
      <c r="Q83" s="2" t="b">
        <f>AND(F83, H83)</f>
        <v>0</v>
      </c>
      <c r="R83" s="2" t="b">
        <f>AND(E83, H83)</f>
        <v>0</v>
      </c>
      <c r="T83" s="2">
        <f>SUM(B83, C83)</f>
        <v>101</v>
      </c>
      <c r="U83" s="2" t="b">
        <f t="shared" si="4"/>
        <v>1</v>
      </c>
      <c r="V83" s="2" t="b">
        <f t="shared" si="5"/>
        <v>0</v>
      </c>
      <c r="W83" s="2">
        <f t="shared" si="6"/>
        <v>101</v>
      </c>
      <c r="X83" s="2" t="str">
        <f t="shared" si="7"/>
        <v/>
      </c>
      <c r="Y83" s="2" t="b">
        <f>AND(ISODD(B83),ISODD(T83))</f>
        <v>0</v>
      </c>
      <c r="Z83" s="2" t="b">
        <f>AND(ISODD(B83),ISEVEN(T83))</f>
        <v>0</v>
      </c>
      <c r="AA83" s="2" t="b">
        <f>AND(ISEVEN(B83),ISODD(T83))</f>
        <v>1</v>
      </c>
      <c r="AB83" s="2" t="b">
        <f>AND(ISEVEN(B83),ISEVEN(T83))</f>
        <v>0</v>
      </c>
      <c r="AC83" s="2" t="str">
        <f>IF(AND(ISODD(B83),ISODD(T83)), B83, "")</f>
        <v/>
      </c>
      <c r="AD83" s="2" t="str">
        <f>IF(AND(ISODD(B83),ISEVEN(T83)), B83, "")</f>
        <v/>
      </c>
      <c r="AE83" s="2">
        <f>IF(AND(ISEVEN(B83),ISODD(T83)), B83, "")</f>
        <v>82</v>
      </c>
      <c r="AF83" s="2" t="str">
        <f>IF(AND(ISEVEN(B83),ISEVEN(T83)), B83, "")</f>
        <v/>
      </c>
      <c r="AG83" s="2">
        <f>IF(AND(ISODD(C83),ISODD(T83)), C83, "")</f>
        <v>19</v>
      </c>
      <c r="AH83" s="2" t="str">
        <f>IF(AND(ISODD(C83),ISEVEN(T83)), C83, "")</f>
        <v/>
      </c>
      <c r="AI83" s="2" t="str">
        <f>IF(AND(ISEVEN(C83),ISODD(T83)), C83, "")</f>
        <v/>
      </c>
      <c r="AJ83" s="2" t="str">
        <f>IF(AND(ISEVEN(C83),ISEVEN(T83)), C83, "")</f>
        <v/>
      </c>
      <c r="AK83" s="2">
        <f>IF(U83,B83, "")</f>
        <v>82</v>
      </c>
      <c r="AL83" s="2" t="str">
        <f>IF(V83, B83, "")</f>
        <v/>
      </c>
      <c r="AM83" s="2">
        <f>IF(U83, C83, "")</f>
        <v>19</v>
      </c>
      <c r="AN83" s="2" t="str">
        <f>IF(V83, C83, "")</f>
        <v/>
      </c>
    </row>
    <row r="84" spans="2:40" hidden="1" outlineLevel="1" x14ac:dyDescent="0.25">
      <c r="B84" s="2">
        <v>83</v>
      </c>
      <c r="C84" s="2">
        <v>36</v>
      </c>
      <c r="E84" s="2" t="b">
        <f>ISODD(B84)</f>
        <v>1</v>
      </c>
      <c r="F84" s="2" t="b">
        <f>ISEVEN(B84)</f>
        <v>0</v>
      </c>
      <c r="G84" s="2" t="b">
        <f>ISODD(C84)</f>
        <v>0</v>
      </c>
      <c r="H84" s="2" t="b">
        <f>ISEVEN(C84)</f>
        <v>1</v>
      </c>
      <c r="I84" s="2">
        <f>IF(E84, B84, "")</f>
        <v>83</v>
      </c>
      <c r="J84" s="2" t="str">
        <f>IF(F84, B84, "")</f>
        <v/>
      </c>
      <c r="K84" s="2" t="str">
        <f>IF(G84, C84, "")</f>
        <v/>
      </c>
      <c r="L84" s="2">
        <f>IF(H84, C84, "")</f>
        <v>36</v>
      </c>
      <c r="M84" s="2" t="b">
        <f>OR(AND(E84, G84), AND(F84, H84))</f>
        <v>0</v>
      </c>
      <c r="N84" s="2" t="b">
        <f>OR(AND(E84, H84), AND(F84, G84))</f>
        <v>1</v>
      </c>
      <c r="O84" s="2" t="b">
        <f>AND(E84, G84)</f>
        <v>0</v>
      </c>
      <c r="P84" s="2" t="b">
        <f>AND(F84, G84)</f>
        <v>0</v>
      </c>
      <c r="Q84" s="2" t="b">
        <f>AND(F84, H84)</f>
        <v>0</v>
      </c>
      <c r="R84" s="2" t="b">
        <f>AND(E84, H84)</f>
        <v>1</v>
      </c>
      <c r="T84" s="2">
        <f>SUM(B84, C84)</f>
        <v>119</v>
      </c>
      <c r="U84" s="2" t="b">
        <f t="shared" si="4"/>
        <v>1</v>
      </c>
      <c r="V84" s="2" t="b">
        <f t="shared" si="5"/>
        <v>0</v>
      </c>
      <c r="W84" s="2">
        <f t="shared" si="6"/>
        <v>119</v>
      </c>
      <c r="X84" s="2" t="str">
        <f t="shared" si="7"/>
        <v/>
      </c>
      <c r="Y84" s="2" t="b">
        <f>AND(ISODD(B84),ISODD(T84))</f>
        <v>1</v>
      </c>
      <c r="Z84" s="2" t="b">
        <f>AND(ISODD(B84),ISEVEN(T84))</f>
        <v>0</v>
      </c>
      <c r="AA84" s="2" t="b">
        <f>AND(ISEVEN(B84),ISODD(T84))</f>
        <v>0</v>
      </c>
      <c r="AB84" s="2" t="b">
        <f>AND(ISEVEN(B84),ISEVEN(T84))</f>
        <v>0</v>
      </c>
      <c r="AC84" s="2">
        <f>IF(AND(ISODD(B84),ISODD(T84)), B84, "")</f>
        <v>83</v>
      </c>
      <c r="AD84" s="2" t="str">
        <f>IF(AND(ISODD(B84),ISEVEN(T84)), B84, "")</f>
        <v/>
      </c>
      <c r="AE84" s="2" t="str">
        <f>IF(AND(ISEVEN(B84),ISODD(T84)), B84, "")</f>
        <v/>
      </c>
      <c r="AF84" s="2" t="str">
        <f>IF(AND(ISEVEN(B84),ISEVEN(T84)), B84, "")</f>
        <v/>
      </c>
      <c r="AG84" s="2" t="str">
        <f>IF(AND(ISODD(C84),ISODD(T84)), C84, "")</f>
        <v/>
      </c>
      <c r="AH84" s="2" t="str">
        <f>IF(AND(ISODD(C84),ISEVEN(T84)), C84, "")</f>
        <v/>
      </c>
      <c r="AI84" s="2">
        <f>IF(AND(ISEVEN(C84),ISODD(T84)), C84, "")</f>
        <v>36</v>
      </c>
      <c r="AJ84" s="2" t="str">
        <f>IF(AND(ISEVEN(C84),ISEVEN(T84)), C84, "")</f>
        <v/>
      </c>
      <c r="AK84" s="2">
        <f>IF(U84,B84, "")</f>
        <v>83</v>
      </c>
      <c r="AL84" s="2" t="str">
        <f>IF(V84, B84, "")</f>
        <v/>
      </c>
      <c r="AM84" s="2">
        <f>IF(U84, C84, "")</f>
        <v>36</v>
      </c>
      <c r="AN84" s="2" t="str">
        <f>IF(V84, C84, "")</f>
        <v/>
      </c>
    </row>
    <row r="85" spans="2:40" hidden="1" outlineLevel="1" x14ac:dyDescent="0.25">
      <c r="B85" s="2">
        <v>84</v>
      </c>
      <c r="C85" s="2">
        <v>25</v>
      </c>
      <c r="E85" s="2" t="b">
        <f>ISODD(B85)</f>
        <v>0</v>
      </c>
      <c r="F85" s="2" t="b">
        <f>ISEVEN(B85)</f>
        <v>1</v>
      </c>
      <c r="G85" s="2" t="b">
        <f>ISODD(C85)</f>
        <v>1</v>
      </c>
      <c r="H85" s="2" t="b">
        <f>ISEVEN(C85)</f>
        <v>0</v>
      </c>
      <c r="I85" s="2" t="str">
        <f>IF(E85, B85, "")</f>
        <v/>
      </c>
      <c r="J85" s="2">
        <f>IF(F85, B85, "")</f>
        <v>84</v>
      </c>
      <c r="K85" s="2">
        <f>IF(G85, C85, "")</f>
        <v>25</v>
      </c>
      <c r="L85" s="2" t="str">
        <f>IF(H85, C85, "")</f>
        <v/>
      </c>
      <c r="M85" s="2" t="b">
        <f>OR(AND(E85, G85), AND(F85, H85))</f>
        <v>0</v>
      </c>
      <c r="N85" s="2" t="b">
        <f>OR(AND(E85, H85), AND(F85, G85))</f>
        <v>1</v>
      </c>
      <c r="O85" s="2" t="b">
        <f>AND(E85, G85)</f>
        <v>0</v>
      </c>
      <c r="P85" s="2" t="b">
        <f>AND(F85, G85)</f>
        <v>1</v>
      </c>
      <c r="Q85" s="2" t="b">
        <f>AND(F85, H85)</f>
        <v>0</v>
      </c>
      <c r="R85" s="2" t="b">
        <f>AND(E85, H85)</f>
        <v>0</v>
      </c>
      <c r="T85" s="2">
        <f>SUM(B85, C85)</f>
        <v>109</v>
      </c>
      <c r="U85" s="2" t="b">
        <f t="shared" si="4"/>
        <v>1</v>
      </c>
      <c r="V85" s="2" t="b">
        <f t="shared" si="5"/>
        <v>0</v>
      </c>
      <c r="W85" s="2">
        <f t="shared" si="6"/>
        <v>109</v>
      </c>
      <c r="X85" s="2" t="str">
        <f t="shared" si="7"/>
        <v/>
      </c>
      <c r="Y85" s="2" t="b">
        <f>AND(ISODD(B85),ISODD(T85))</f>
        <v>0</v>
      </c>
      <c r="Z85" s="2" t="b">
        <f>AND(ISODD(B85),ISEVEN(T85))</f>
        <v>0</v>
      </c>
      <c r="AA85" s="2" t="b">
        <f>AND(ISEVEN(B85),ISODD(T85))</f>
        <v>1</v>
      </c>
      <c r="AB85" s="2" t="b">
        <f>AND(ISEVEN(B85),ISEVEN(T85))</f>
        <v>0</v>
      </c>
      <c r="AC85" s="2" t="str">
        <f>IF(AND(ISODD(B85),ISODD(T85)), B85, "")</f>
        <v/>
      </c>
      <c r="AD85" s="2" t="str">
        <f>IF(AND(ISODD(B85),ISEVEN(T85)), B85, "")</f>
        <v/>
      </c>
      <c r="AE85" s="2">
        <f>IF(AND(ISEVEN(B85),ISODD(T85)), B85, "")</f>
        <v>84</v>
      </c>
      <c r="AF85" s="2" t="str">
        <f>IF(AND(ISEVEN(B85),ISEVEN(T85)), B85, "")</f>
        <v/>
      </c>
      <c r="AG85" s="2">
        <f>IF(AND(ISODD(C85),ISODD(T85)), C85, "")</f>
        <v>25</v>
      </c>
      <c r="AH85" s="2" t="str">
        <f>IF(AND(ISODD(C85),ISEVEN(T85)), C85, "")</f>
        <v/>
      </c>
      <c r="AI85" s="2" t="str">
        <f>IF(AND(ISEVEN(C85),ISODD(T85)), C85, "")</f>
        <v/>
      </c>
      <c r="AJ85" s="2" t="str">
        <f>IF(AND(ISEVEN(C85),ISEVEN(T85)), C85, "")</f>
        <v/>
      </c>
      <c r="AK85" s="2">
        <f>IF(U85,B85, "")</f>
        <v>84</v>
      </c>
      <c r="AL85" s="2" t="str">
        <f>IF(V85, B85, "")</f>
        <v/>
      </c>
      <c r="AM85" s="2">
        <f>IF(U85, C85, "")</f>
        <v>25</v>
      </c>
      <c r="AN85" s="2" t="str">
        <f>IF(V85, C85, "")</f>
        <v/>
      </c>
    </row>
    <row r="86" spans="2:40" hidden="1" outlineLevel="1" x14ac:dyDescent="0.25">
      <c r="B86" s="2">
        <v>85</v>
      </c>
      <c r="C86" s="2">
        <v>22</v>
      </c>
      <c r="E86" s="2" t="b">
        <f>ISODD(B86)</f>
        <v>1</v>
      </c>
      <c r="F86" s="2" t="b">
        <f>ISEVEN(B86)</f>
        <v>0</v>
      </c>
      <c r="G86" s="2" t="b">
        <f>ISODD(C86)</f>
        <v>0</v>
      </c>
      <c r="H86" s="2" t="b">
        <f>ISEVEN(C86)</f>
        <v>1</v>
      </c>
      <c r="I86" s="2">
        <f>IF(E86, B86, "")</f>
        <v>85</v>
      </c>
      <c r="J86" s="2" t="str">
        <f>IF(F86, B86, "")</f>
        <v/>
      </c>
      <c r="K86" s="2" t="str">
        <f>IF(G86, C86, "")</f>
        <v/>
      </c>
      <c r="L86" s="2">
        <f>IF(H86, C86, "")</f>
        <v>22</v>
      </c>
      <c r="M86" s="2" t="b">
        <f>OR(AND(E86, G86), AND(F86, H86))</f>
        <v>0</v>
      </c>
      <c r="N86" s="2" t="b">
        <f>OR(AND(E86, H86), AND(F86, G86))</f>
        <v>1</v>
      </c>
      <c r="O86" s="2" t="b">
        <f>AND(E86, G86)</f>
        <v>0</v>
      </c>
      <c r="P86" s="2" t="b">
        <f>AND(F86, G86)</f>
        <v>0</v>
      </c>
      <c r="Q86" s="2" t="b">
        <f>AND(F86, H86)</f>
        <v>0</v>
      </c>
      <c r="R86" s="2" t="b">
        <f>AND(E86, H86)</f>
        <v>1</v>
      </c>
      <c r="T86" s="2">
        <f>SUM(B86, C86)</f>
        <v>107</v>
      </c>
      <c r="U86" s="2" t="b">
        <f t="shared" si="4"/>
        <v>1</v>
      </c>
      <c r="V86" s="2" t="b">
        <f t="shared" si="5"/>
        <v>0</v>
      </c>
      <c r="W86" s="2">
        <f t="shared" si="6"/>
        <v>107</v>
      </c>
      <c r="X86" s="2" t="str">
        <f t="shared" si="7"/>
        <v/>
      </c>
      <c r="Y86" s="2" t="b">
        <f>AND(ISODD(B86),ISODD(T86))</f>
        <v>1</v>
      </c>
      <c r="Z86" s="2" t="b">
        <f>AND(ISODD(B86),ISEVEN(T86))</f>
        <v>0</v>
      </c>
      <c r="AA86" s="2" t="b">
        <f>AND(ISEVEN(B86),ISODD(T86))</f>
        <v>0</v>
      </c>
      <c r="AB86" s="2" t="b">
        <f>AND(ISEVEN(B86),ISEVEN(T86))</f>
        <v>0</v>
      </c>
      <c r="AC86" s="2">
        <f>IF(AND(ISODD(B86),ISODD(T86)), B86, "")</f>
        <v>85</v>
      </c>
      <c r="AD86" s="2" t="str">
        <f>IF(AND(ISODD(B86),ISEVEN(T86)), B86, "")</f>
        <v/>
      </c>
      <c r="AE86" s="2" t="str">
        <f>IF(AND(ISEVEN(B86),ISODD(T86)), B86, "")</f>
        <v/>
      </c>
      <c r="AF86" s="2" t="str">
        <f>IF(AND(ISEVEN(B86),ISEVEN(T86)), B86, "")</f>
        <v/>
      </c>
      <c r="AG86" s="2" t="str">
        <f>IF(AND(ISODD(C86),ISODD(T86)), C86, "")</f>
        <v/>
      </c>
      <c r="AH86" s="2" t="str">
        <f>IF(AND(ISODD(C86),ISEVEN(T86)), C86, "")</f>
        <v/>
      </c>
      <c r="AI86" s="2">
        <f>IF(AND(ISEVEN(C86),ISODD(T86)), C86, "")</f>
        <v>22</v>
      </c>
      <c r="AJ86" s="2" t="str">
        <f>IF(AND(ISEVEN(C86),ISEVEN(T86)), C86, "")</f>
        <v/>
      </c>
      <c r="AK86" s="2">
        <f>IF(U86,B86, "")</f>
        <v>85</v>
      </c>
      <c r="AL86" s="2" t="str">
        <f>IF(V86, B86, "")</f>
        <v/>
      </c>
      <c r="AM86" s="2">
        <f>IF(U86, C86, "")</f>
        <v>22</v>
      </c>
      <c r="AN86" s="2" t="str">
        <f>IF(V86, C86, "")</f>
        <v/>
      </c>
    </row>
    <row r="87" spans="2:40" hidden="1" outlineLevel="1" x14ac:dyDescent="0.25">
      <c r="B87" s="2">
        <v>86</v>
      </c>
      <c r="C87" s="2">
        <v>17</v>
      </c>
      <c r="E87" s="2" t="b">
        <f>ISODD(B87)</f>
        <v>0</v>
      </c>
      <c r="F87" s="2" t="b">
        <f>ISEVEN(B87)</f>
        <v>1</v>
      </c>
      <c r="G87" s="2" t="b">
        <f>ISODD(C87)</f>
        <v>1</v>
      </c>
      <c r="H87" s="2" t="b">
        <f>ISEVEN(C87)</f>
        <v>0</v>
      </c>
      <c r="I87" s="2" t="str">
        <f>IF(E87, B87, "")</f>
        <v/>
      </c>
      <c r="J87" s="2">
        <f>IF(F87, B87, "")</f>
        <v>86</v>
      </c>
      <c r="K87" s="2">
        <f>IF(G87, C87, "")</f>
        <v>17</v>
      </c>
      <c r="L87" s="2" t="str">
        <f>IF(H87, C87, "")</f>
        <v/>
      </c>
      <c r="M87" s="2" t="b">
        <f>OR(AND(E87, G87), AND(F87, H87))</f>
        <v>0</v>
      </c>
      <c r="N87" s="2" t="b">
        <f>OR(AND(E87, H87), AND(F87, G87))</f>
        <v>1</v>
      </c>
      <c r="O87" s="2" t="b">
        <f>AND(E87, G87)</f>
        <v>0</v>
      </c>
      <c r="P87" s="2" t="b">
        <f>AND(F87, G87)</f>
        <v>1</v>
      </c>
      <c r="Q87" s="2" t="b">
        <f>AND(F87, H87)</f>
        <v>0</v>
      </c>
      <c r="R87" s="2" t="b">
        <f>AND(E87, H87)</f>
        <v>0</v>
      </c>
      <c r="T87" s="2">
        <f>SUM(B87, C87)</f>
        <v>103</v>
      </c>
      <c r="U87" s="2" t="b">
        <f t="shared" si="4"/>
        <v>1</v>
      </c>
      <c r="V87" s="2" t="b">
        <f t="shared" si="5"/>
        <v>0</v>
      </c>
      <c r="W87" s="2">
        <f t="shared" si="6"/>
        <v>103</v>
      </c>
      <c r="X87" s="2" t="str">
        <f t="shared" si="7"/>
        <v/>
      </c>
      <c r="Y87" s="2" t="b">
        <f>AND(ISODD(B87),ISODD(T87))</f>
        <v>0</v>
      </c>
      <c r="Z87" s="2" t="b">
        <f>AND(ISODD(B87),ISEVEN(T87))</f>
        <v>0</v>
      </c>
      <c r="AA87" s="2" t="b">
        <f>AND(ISEVEN(B87),ISODD(T87))</f>
        <v>1</v>
      </c>
      <c r="AB87" s="2" t="b">
        <f>AND(ISEVEN(B87),ISEVEN(T87))</f>
        <v>0</v>
      </c>
      <c r="AC87" s="2" t="str">
        <f>IF(AND(ISODD(B87),ISODD(T87)), B87, "")</f>
        <v/>
      </c>
      <c r="AD87" s="2" t="str">
        <f>IF(AND(ISODD(B87),ISEVEN(T87)), B87, "")</f>
        <v/>
      </c>
      <c r="AE87" s="2">
        <f>IF(AND(ISEVEN(B87),ISODD(T87)), B87, "")</f>
        <v>86</v>
      </c>
      <c r="AF87" s="2" t="str">
        <f>IF(AND(ISEVEN(B87),ISEVEN(T87)), B87, "")</f>
        <v/>
      </c>
      <c r="AG87" s="2">
        <f>IF(AND(ISODD(C87),ISODD(T87)), C87, "")</f>
        <v>17</v>
      </c>
      <c r="AH87" s="2" t="str">
        <f>IF(AND(ISODD(C87),ISEVEN(T87)), C87, "")</f>
        <v/>
      </c>
      <c r="AI87" s="2" t="str">
        <f>IF(AND(ISEVEN(C87),ISODD(T87)), C87, "")</f>
        <v/>
      </c>
      <c r="AJ87" s="2" t="str">
        <f>IF(AND(ISEVEN(C87),ISEVEN(T87)), C87, "")</f>
        <v/>
      </c>
      <c r="AK87" s="2">
        <f>IF(U87,B87, "")</f>
        <v>86</v>
      </c>
      <c r="AL87" s="2" t="str">
        <f>IF(V87, B87, "")</f>
        <v/>
      </c>
      <c r="AM87" s="2">
        <f>IF(U87, C87, "")</f>
        <v>17</v>
      </c>
      <c r="AN87" s="2" t="str">
        <f>IF(V87, C87, "")</f>
        <v/>
      </c>
    </row>
    <row r="88" spans="2:40" hidden="1" outlineLevel="1" x14ac:dyDescent="0.25">
      <c r="B88" s="2">
        <v>87</v>
      </c>
      <c r="C88" s="2">
        <v>19</v>
      </c>
      <c r="E88" s="2" t="b">
        <f>ISODD(B88)</f>
        <v>1</v>
      </c>
      <c r="F88" s="2" t="b">
        <f>ISEVEN(B88)</f>
        <v>0</v>
      </c>
      <c r="G88" s="2" t="b">
        <f>ISODD(C88)</f>
        <v>1</v>
      </c>
      <c r="H88" s="2" t="b">
        <f>ISEVEN(C88)</f>
        <v>0</v>
      </c>
      <c r="I88" s="2">
        <f>IF(E88, B88, "")</f>
        <v>87</v>
      </c>
      <c r="J88" s="2" t="str">
        <f>IF(F88, B88, "")</f>
        <v/>
      </c>
      <c r="K88" s="2">
        <f>IF(G88, C88, "")</f>
        <v>19</v>
      </c>
      <c r="L88" s="2" t="str">
        <f>IF(H88, C88, "")</f>
        <v/>
      </c>
      <c r="M88" s="2" t="b">
        <f>OR(AND(E88, G88), AND(F88, H88))</f>
        <v>1</v>
      </c>
      <c r="N88" s="2" t="b">
        <f>OR(AND(E88, H88), AND(F88, G88))</f>
        <v>0</v>
      </c>
      <c r="O88" s="2" t="b">
        <f>AND(E88, G88)</f>
        <v>1</v>
      </c>
      <c r="P88" s="2" t="b">
        <f>AND(F88, G88)</f>
        <v>0</v>
      </c>
      <c r="Q88" s="2" t="b">
        <f>AND(F88, H88)</f>
        <v>0</v>
      </c>
      <c r="R88" s="2" t="b">
        <f>AND(E88, H88)</f>
        <v>0</v>
      </c>
      <c r="T88" s="2">
        <f>SUM(B88, C88)</f>
        <v>106</v>
      </c>
      <c r="U88" s="2" t="b">
        <f t="shared" si="4"/>
        <v>0</v>
      </c>
      <c r="V88" s="2" t="b">
        <f t="shared" si="5"/>
        <v>1</v>
      </c>
      <c r="W88" s="2" t="str">
        <f t="shared" si="6"/>
        <v/>
      </c>
      <c r="X88" s="2">
        <f t="shared" si="7"/>
        <v>106</v>
      </c>
      <c r="Y88" s="2" t="b">
        <f>AND(ISODD(B88),ISODD(T88))</f>
        <v>0</v>
      </c>
      <c r="Z88" s="2" t="b">
        <f>AND(ISODD(B88),ISEVEN(T88))</f>
        <v>1</v>
      </c>
      <c r="AA88" s="2" t="b">
        <f>AND(ISEVEN(B88),ISODD(T88))</f>
        <v>0</v>
      </c>
      <c r="AB88" s="2" t="b">
        <f>AND(ISEVEN(B88),ISEVEN(T88))</f>
        <v>0</v>
      </c>
      <c r="AC88" s="2" t="str">
        <f>IF(AND(ISODD(B88),ISODD(T88)), B88, "")</f>
        <v/>
      </c>
      <c r="AD88" s="2">
        <f>IF(AND(ISODD(B88),ISEVEN(T88)), B88, "")</f>
        <v>87</v>
      </c>
      <c r="AE88" s="2" t="str">
        <f>IF(AND(ISEVEN(B88),ISODD(T88)), B88, "")</f>
        <v/>
      </c>
      <c r="AF88" s="2" t="str">
        <f>IF(AND(ISEVEN(B88),ISEVEN(T88)), B88, "")</f>
        <v/>
      </c>
      <c r="AG88" s="2" t="str">
        <f>IF(AND(ISODD(C88),ISODD(T88)), C88, "")</f>
        <v/>
      </c>
      <c r="AH88" s="2">
        <f>IF(AND(ISODD(C88),ISEVEN(T88)), C88, "")</f>
        <v>19</v>
      </c>
      <c r="AI88" s="2" t="str">
        <f>IF(AND(ISEVEN(C88),ISODD(T88)), C88, "")</f>
        <v/>
      </c>
      <c r="AJ88" s="2" t="str">
        <f>IF(AND(ISEVEN(C88),ISEVEN(T88)), C88, "")</f>
        <v/>
      </c>
      <c r="AK88" s="2" t="str">
        <f>IF(U88,B88, "")</f>
        <v/>
      </c>
      <c r="AL88" s="2">
        <f>IF(V88, B88, "")</f>
        <v>87</v>
      </c>
      <c r="AM88" s="2" t="str">
        <f>IF(U88, C88, "")</f>
        <v/>
      </c>
      <c r="AN88" s="2">
        <f>IF(V88, C88, "")</f>
        <v>19</v>
      </c>
    </row>
    <row r="89" spans="2:40" hidden="1" outlineLevel="1" x14ac:dyDescent="0.25">
      <c r="B89" s="2">
        <v>88</v>
      </c>
      <c r="C89" s="2">
        <v>26</v>
      </c>
      <c r="E89" s="2" t="b">
        <f>ISODD(B89)</f>
        <v>0</v>
      </c>
      <c r="F89" s="2" t="b">
        <f>ISEVEN(B89)</f>
        <v>1</v>
      </c>
      <c r="G89" s="2" t="b">
        <f>ISODD(C89)</f>
        <v>0</v>
      </c>
      <c r="H89" s="2" t="b">
        <f>ISEVEN(C89)</f>
        <v>1</v>
      </c>
      <c r="I89" s="2" t="str">
        <f>IF(E89, B89, "")</f>
        <v/>
      </c>
      <c r="J89" s="2">
        <f>IF(F89, B89, "")</f>
        <v>88</v>
      </c>
      <c r="K89" s="2" t="str">
        <f>IF(G89, C89, "")</f>
        <v/>
      </c>
      <c r="L89" s="2">
        <f>IF(H89, C89, "")</f>
        <v>26</v>
      </c>
      <c r="M89" s="2" t="b">
        <f>OR(AND(E89, G89), AND(F89, H89))</f>
        <v>1</v>
      </c>
      <c r="N89" s="2" t="b">
        <f>OR(AND(E89, H89), AND(F89, G89))</f>
        <v>0</v>
      </c>
      <c r="O89" s="2" t="b">
        <f>AND(E89, G89)</f>
        <v>0</v>
      </c>
      <c r="P89" s="2" t="b">
        <f>AND(F89, G89)</f>
        <v>0</v>
      </c>
      <c r="Q89" s="2" t="b">
        <f>AND(F89, H89)</f>
        <v>1</v>
      </c>
      <c r="R89" s="2" t="b">
        <f>AND(E89, H89)</f>
        <v>0</v>
      </c>
      <c r="T89" s="2">
        <f>SUM(B89, C89)</f>
        <v>114</v>
      </c>
      <c r="U89" s="2" t="b">
        <f t="shared" si="4"/>
        <v>0</v>
      </c>
      <c r="V89" s="2" t="b">
        <f t="shared" si="5"/>
        <v>1</v>
      </c>
      <c r="W89" s="2" t="str">
        <f t="shared" si="6"/>
        <v/>
      </c>
      <c r="X89" s="2">
        <f t="shared" si="7"/>
        <v>114</v>
      </c>
      <c r="Y89" s="2" t="b">
        <f>AND(ISODD(B89),ISODD(T89))</f>
        <v>0</v>
      </c>
      <c r="Z89" s="2" t="b">
        <f>AND(ISODD(B89),ISEVEN(T89))</f>
        <v>0</v>
      </c>
      <c r="AA89" s="2" t="b">
        <f>AND(ISEVEN(B89),ISODD(T89))</f>
        <v>0</v>
      </c>
      <c r="AB89" s="2" t="b">
        <f>AND(ISEVEN(B89),ISEVEN(T89))</f>
        <v>1</v>
      </c>
      <c r="AC89" s="2" t="str">
        <f>IF(AND(ISODD(B89),ISODD(T89)), B89, "")</f>
        <v/>
      </c>
      <c r="AD89" s="2" t="str">
        <f>IF(AND(ISODD(B89),ISEVEN(T89)), B89, "")</f>
        <v/>
      </c>
      <c r="AE89" s="2" t="str">
        <f>IF(AND(ISEVEN(B89),ISODD(T89)), B89, "")</f>
        <v/>
      </c>
      <c r="AF89" s="2">
        <f>IF(AND(ISEVEN(B89),ISEVEN(T89)), B89, "")</f>
        <v>88</v>
      </c>
      <c r="AG89" s="2" t="str">
        <f>IF(AND(ISODD(C89),ISODD(T89)), C89, "")</f>
        <v/>
      </c>
      <c r="AH89" s="2" t="str">
        <f>IF(AND(ISODD(C89),ISEVEN(T89)), C89, "")</f>
        <v/>
      </c>
      <c r="AI89" s="2" t="str">
        <f>IF(AND(ISEVEN(C89),ISODD(T89)), C89, "")</f>
        <v/>
      </c>
      <c r="AJ89" s="2">
        <f>IF(AND(ISEVEN(C89),ISEVEN(T89)), C89, "")</f>
        <v>26</v>
      </c>
      <c r="AK89" s="2" t="str">
        <f>IF(U89,B89, "")</f>
        <v/>
      </c>
      <c r="AL89" s="2">
        <f>IF(V89, B89, "")</f>
        <v>88</v>
      </c>
      <c r="AM89" s="2" t="str">
        <f>IF(U89, C89, "")</f>
        <v/>
      </c>
      <c r="AN89" s="2">
        <f>IF(V89, C89, "")</f>
        <v>26</v>
      </c>
    </row>
    <row r="90" spans="2:40" hidden="1" outlineLevel="1" x14ac:dyDescent="0.25">
      <c r="B90" s="2">
        <v>89</v>
      </c>
      <c r="C90" s="2">
        <v>30</v>
      </c>
      <c r="E90" s="2" t="b">
        <f>ISODD(B90)</f>
        <v>1</v>
      </c>
      <c r="F90" s="2" t="b">
        <f>ISEVEN(B90)</f>
        <v>0</v>
      </c>
      <c r="G90" s="2" t="b">
        <f>ISODD(C90)</f>
        <v>0</v>
      </c>
      <c r="H90" s="2" t="b">
        <f>ISEVEN(C90)</f>
        <v>1</v>
      </c>
      <c r="I90" s="2">
        <f>IF(E90, B90, "")</f>
        <v>89</v>
      </c>
      <c r="J90" s="2" t="str">
        <f>IF(F90, B90, "")</f>
        <v/>
      </c>
      <c r="K90" s="2" t="str">
        <f>IF(G90, C90, "")</f>
        <v/>
      </c>
      <c r="L90" s="2">
        <f>IF(H90, C90, "")</f>
        <v>30</v>
      </c>
      <c r="M90" s="2" t="b">
        <f>OR(AND(E90, G90), AND(F90, H90))</f>
        <v>0</v>
      </c>
      <c r="N90" s="2" t="b">
        <f>OR(AND(E90, H90), AND(F90, G90))</f>
        <v>1</v>
      </c>
      <c r="O90" s="2" t="b">
        <f>AND(E90, G90)</f>
        <v>0</v>
      </c>
      <c r="P90" s="2" t="b">
        <f>AND(F90, G90)</f>
        <v>0</v>
      </c>
      <c r="Q90" s="2" t="b">
        <f>AND(F90, H90)</f>
        <v>0</v>
      </c>
      <c r="R90" s="2" t="b">
        <f>AND(E90, H90)</f>
        <v>1</v>
      </c>
      <c r="T90" s="2">
        <f>SUM(B90, C90)</f>
        <v>119</v>
      </c>
      <c r="U90" s="2" t="b">
        <f t="shared" si="4"/>
        <v>1</v>
      </c>
      <c r="V90" s="2" t="b">
        <f t="shared" si="5"/>
        <v>0</v>
      </c>
      <c r="W90" s="2">
        <f t="shared" si="6"/>
        <v>119</v>
      </c>
      <c r="X90" s="2" t="str">
        <f t="shared" si="7"/>
        <v/>
      </c>
      <c r="Y90" s="2" t="b">
        <f>AND(ISODD(B90),ISODD(T90))</f>
        <v>1</v>
      </c>
      <c r="Z90" s="2" t="b">
        <f>AND(ISODD(B90),ISEVEN(T90))</f>
        <v>0</v>
      </c>
      <c r="AA90" s="2" t="b">
        <f>AND(ISEVEN(B90),ISODD(T90))</f>
        <v>0</v>
      </c>
      <c r="AB90" s="2" t="b">
        <f>AND(ISEVEN(B90),ISEVEN(T90))</f>
        <v>0</v>
      </c>
      <c r="AC90" s="2">
        <f>IF(AND(ISODD(B90),ISODD(T90)), B90, "")</f>
        <v>89</v>
      </c>
      <c r="AD90" s="2" t="str">
        <f>IF(AND(ISODD(B90),ISEVEN(T90)), B90, "")</f>
        <v/>
      </c>
      <c r="AE90" s="2" t="str">
        <f>IF(AND(ISEVEN(B90),ISODD(T90)), B90, "")</f>
        <v/>
      </c>
      <c r="AF90" s="2" t="str">
        <f>IF(AND(ISEVEN(B90),ISEVEN(T90)), B90, "")</f>
        <v/>
      </c>
      <c r="AG90" s="2" t="str">
        <f>IF(AND(ISODD(C90),ISODD(T90)), C90, "")</f>
        <v/>
      </c>
      <c r="AH90" s="2" t="str">
        <f>IF(AND(ISODD(C90),ISEVEN(T90)), C90, "")</f>
        <v/>
      </c>
      <c r="AI90" s="2">
        <f>IF(AND(ISEVEN(C90),ISODD(T90)), C90, "")</f>
        <v>30</v>
      </c>
      <c r="AJ90" s="2" t="str">
        <f>IF(AND(ISEVEN(C90),ISEVEN(T90)), C90, "")</f>
        <v/>
      </c>
      <c r="AK90" s="2">
        <f>IF(U90,B90, "")</f>
        <v>89</v>
      </c>
      <c r="AL90" s="2" t="str">
        <f>IF(V90, B90, "")</f>
        <v/>
      </c>
      <c r="AM90" s="2">
        <f>IF(U90, C90, "")</f>
        <v>30</v>
      </c>
      <c r="AN90" s="2" t="str">
        <f>IF(V90, C90, "")</f>
        <v/>
      </c>
    </row>
    <row r="91" spans="2:40" hidden="1" outlineLevel="1" x14ac:dyDescent="0.25">
      <c r="B91" s="2">
        <v>90</v>
      </c>
      <c r="C91" s="2">
        <v>20</v>
      </c>
      <c r="E91" s="2" t="b">
        <f>ISODD(B91)</f>
        <v>0</v>
      </c>
      <c r="F91" s="2" t="b">
        <f>ISEVEN(B91)</f>
        <v>1</v>
      </c>
      <c r="G91" s="2" t="b">
        <f>ISODD(C91)</f>
        <v>0</v>
      </c>
      <c r="H91" s="2" t="b">
        <f>ISEVEN(C91)</f>
        <v>1</v>
      </c>
      <c r="I91" s="2" t="str">
        <f>IF(E91, B91, "")</f>
        <v/>
      </c>
      <c r="J91" s="2">
        <f>IF(F91, B91, "")</f>
        <v>90</v>
      </c>
      <c r="K91" s="2" t="str">
        <f>IF(G91, C91, "")</f>
        <v/>
      </c>
      <c r="L91" s="2">
        <f>IF(H91, C91, "")</f>
        <v>20</v>
      </c>
      <c r="M91" s="2" t="b">
        <f>OR(AND(E91, G91), AND(F91, H91))</f>
        <v>1</v>
      </c>
      <c r="N91" s="2" t="b">
        <f>OR(AND(E91, H91), AND(F91, G91))</f>
        <v>0</v>
      </c>
      <c r="O91" s="2" t="b">
        <f>AND(E91, G91)</f>
        <v>0</v>
      </c>
      <c r="P91" s="2" t="b">
        <f>AND(F91, G91)</f>
        <v>0</v>
      </c>
      <c r="Q91" s="2" t="b">
        <f>AND(F91, H91)</f>
        <v>1</v>
      </c>
      <c r="R91" s="2" t="b">
        <f>AND(E91, H91)</f>
        <v>0</v>
      </c>
      <c r="T91" s="2">
        <f>SUM(B91, C91)</f>
        <v>110</v>
      </c>
      <c r="U91" s="2" t="b">
        <f t="shared" si="4"/>
        <v>0</v>
      </c>
      <c r="V91" s="2" t="b">
        <f t="shared" si="5"/>
        <v>1</v>
      </c>
      <c r="W91" s="2" t="str">
        <f t="shared" si="6"/>
        <v/>
      </c>
      <c r="X91" s="2">
        <f t="shared" si="7"/>
        <v>110</v>
      </c>
      <c r="Y91" s="2" t="b">
        <f>AND(ISODD(B91),ISODD(T91))</f>
        <v>0</v>
      </c>
      <c r="Z91" s="2" t="b">
        <f>AND(ISODD(B91),ISEVEN(T91))</f>
        <v>0</v>
      </c>
      <c r="AA91" s="2" t="b">
        <f>AND(ISEVEN(B91),ISODD(T91))</f>
        <v>0</v>
      </c>
      <c r="AB91" s="2" t="b">
        <f>AND(ISEVEN(B91),ISEVEN(T91))</f>
        <v>1</v>
      </c>
      <c r="AC91" s="2" t="str">
        <f>IF(AND(ISODD(B91),ISODD(T91)), B91, "")</f>
        <v/>
      </c>
      <c r="AD91" s="2" t="str">
        <f>IF(AND(ISODD(B91),ISEVEN(T91)), B91, "")</f>
        <v/>
      </c>
      <c r="AE91" s="2" t="str">
        <f>IF(AND(ISEVEN(B91),ISODD(T91)), B91, "")</f>
        <v/>
      </c>
      <c r="AF91" s="2">
        <f>IF(AND(ISEVEN(B91),ISEVEN(T91)), B91, "")</f>
        <v>90</v>
      </c>
      <c r="AG91" s="2" t="str">
        <f>IF(AND(ISODD(C91),ISODD(T91)), C91, "")</f>
        <v/>
      </c>
      <c r="AH91" s="2" t="str">
        <f>IF(AND(ISODD(C91),ISEVEN(T91)), C91, "")</f>
        <v/>
      </c>
      <c r="AI91" s="2" t="str">
        <f>IF(AND(ISEVEN(C91),ISODD(T91)), C91, "")</f>
        <v/>
      </c>
      <c r="AJ91" s="2">
        <f>IF(AND(ISEVEN(C91),ISEVEN(T91)), C91, "")</f>
        <v>20</v>
      </c>
      <c r="AK91" s="2" t="str">
        <f>IF(U91,B91, "")</f>
        <v/>
      </c>
      <c r="AL91" s="2">
        <f>IF(V91, B91, "")</f>
        <v>90</v>
      </c>
      <c r="AM91" s="2" t="str">
        <f>IF(U91, C91, "")</f>
        <v/>
      </c>
      <c r="AN91" s="2">
        <f>IF(V91, C91, "")</f>
        <v>20</v>
      </c>
    </row>
    <row r="92" spans="2:40" hidden="1" outlineLevel="1" x14ac:dyDescent="0.25">
      <c r="B92" s="2">
        <v>91</v>
      </c>
      <c r="C92" s="2">
        <v>15</v>
      </c>
      <c r="E92" s="2" t="b">
        <f>ISODD(B92)</f>
        <v>1</v>
      </c>
      <c r="F92" s="2" t="b">
        <f>ISEVEN(B92)</f>
        <v>0</v>
      </c>
      <c r="G92" s="2" t="b">
        <f>ISODD(C92)</f>
        <v>1</v>
      </c>
      <c r="H92" s="2" t="b">
        <f>ISEVEN(C92)</f>
        <v>0</v>
      </c>
      <c r="I92" s="2">
        <f>IF(E92, B92, "")</f>
        <v>91</v>
      </c>
      <c r="J92" s="2" t="str">
        <f>IF(F92, B92, "")</f>
        <v/>
      </c>
      <c r="K92" s="2">
        <f>IF(G92, C92, "")</f>
        <v>15</v>
      </c>
      <c r="L92" s="2" t="str">
        <f>IF(H92, C92, "")</f>
        <v/>
      </c>
      <c r="M92" s="2" t="b">
        <f>OR(AND(E92, G92), AND(F92, H92))</f>
        <v>1</v>
      </c>
      <c r="N92" s="2" t="b">
        <f>OR(AND(E92, H92), AND(F92, G92))</f>
        <v>0</v>
      </c>
      <c r="O92" s="2" t="b">
        <f>AND(E92, G92)</f>
        <v>1</v>
      </c>
      <c r="P92" s="2" t="b">
        <f>AND(F92, G92)</f>
        <v>0</v>
      </c>
      <c r="Q92" s="2" t="b">
        <f>AND(F92, H92)</f>
        <v>0</v>
      </c>
      <c r="R92" s="2" t="b">
        <f>AND(E92, H92)</f>
        <v>0</v>
      </c>
      <c r="T92" s="2">
        <f>SUM(B92, C92)</f>
        <v>106</v>
      </c>
      <c r="U92" s="2" t="b">
        <f t="shared" si="4"/>
        <v>0</v>
      </c>
      <c r="V92" s="2" t="b">
        <f t="shared" si="5"/>
        <v>1</v>
      </c>
      <c r="W92" s="2" t="str">
        <f t="shared" si="6"/>
        <v/>
      </c>
      <c r="X92" s="2">
        <f t="shared" si="7"/>
        <v>106</v>
      </c>
      <c r="Y92" s="2" t="b">
        <f>AND(ISODD(B92),ISODD(T92))</f>
        <v>0</v>
      </c>
      <c r="Z92" s="2" t="b">
        <f>AND(ISODD(B92),ISEVEN(T92))</f>
        <v>1</v>
      </c>
      <c r="AA92" s="2" t="b">
        <f>AND(ISEVEN(B92),ISODD(T92))</f>
        <v>0</v>
      </c>
      <c r="AB92" s="2" t="b">
        <f>AND(ISEVEN(B92),ISEVEN(T92))</f>
        <v>0</v>
      </c>
      <c r="AC92" s="2" t="str">
        <f>IF(AND(ISODD(B92),ISODD(T92)), B92, "")</f>
        <v/>
      </c>
      <c r="AD92" s="2">
        <f>IF(AND(ISODD(B92),ISEVEN(T92)), B92, "")</f>
        <v>91</v>
      </c>
      <c r="AE92" s="2" t="str">
        <f>IF(AND(ISEVEN(B92),ISODD(T92)), B92, "")</f>
        <v/>
      </c>
      <c r="AF92" s="2" t="str">
        <f>IF(AND(ISEVEN(B92),ISEVEN(T92)), B92, "")</f>
        <v/>
      </c>
      <c r="AG92" s="2" t="str">
        <f>IF(AND(ISODD(C92),ISODD(T92)), C92, "")</f>
        <v/>
      </c>
      <c r="AH92" s="2">
        <f>IF(AND(ISODD(C92),ISEVEN(T92)), C92, "")</f>
        <v>15</v>
      </c>
      <c r="AI92" s="2" t="str">
        <f>IF(AND(ISEVEN(C92),ISODD(T92)), C92, "")</f>
        <v/>
      </c>
      <c r="AJ92" s="2" t="str">
        <f>IF(AND(ISEVEN(C92),ISEVEN(T92)), C92, "")</f>
        <v/>
      </c>
      <c r="AK92" s="2" t="str">
        <f>IF(U92,B92, "")</f>
        <v/>
      </c>
      <c r="AL92" s="2">
        <f>IF(V92, B92, "")</f>
        <v>91</v>
      </c>
      <c r="AM92" s="2" t="str">
        <f>IF(U92, C92, "")</f>
        <v/>
      </c>
      <c r="AN92" s="2">
        <f>IF(V92, C92, "")</f>
        <v>15</v>
      </c>
    </row>
    <row r="93" spans="2:40" hidden="1" outlineLevel="1" x14ac:dyDescent="0.25">
      <c r="B93" s="2">
        <v>92</v>
      </c>
      <c r="C93" s="2">
        <v>21</v>
      </c>
      <c r="E93" s="2" t="b">
        <f>ISODD(B93)</f>
        <v>0</v>
      </c>
      <c r="F93" s="2" t="b">
        <f>ISEVEN(B93)</f>
        <v>1</v>
      </c>
      <c r="G93" s="2" t="b">
        <f>ISODD(C93)</f>
        <v>1</v>
      </c>
      <c r="H93" s="2" t="b">
        <f>ISEVEN(C93)</f>
        <v>0</v>
      </c>
      <c r="I93" s="2" t="str">
        <f>IF(E93, B93, "")</f>
        <v/>
      </c>
      <c r="J93" s="2">
        <f>IF(F93, B93, "")</f>
        <v>92</v>
      </c>
      <c r="K93" s="2">
        <f>IF(G93, C93, "")</f>
        <v>21</v>
      </c>
      <c r="L93" s="2" t="str">
        <f>IF(H93, C93, "")</f>
        <v/>
      </c>
      <c r="M93" s="2" t="b">
        <f>OR(AND(E93, G93), AND(F93, H93))</f>
        <v>0</v>
      </c>
      <c r="N93" s="2" t="b">
        <f>OR(AND(E93, H93), AND(F93, G93))</f>
        <v>1</v>
      </c>
      <c r="O93" s="2" t="b">
        <f>AND(E93, G93)</f>
        <v>0</v>
      </c>
      <c r="P93" s="2" t="b">
        <f>AND(F93, G93)</f>
        <v>1</v>
      </c>
      <c r="Q93" s="2" t="b">
        <f>AND(F93, H93)</f>
        <v>0</v>
      </c>
      <c r="R93" s="2" t="b">
        <f>AND(E93, H93)</f>
        <v>0</v>
      </c>
      <c r="T93" s="2">
        <f>SUM(B93, C93)</f>
        <v>113</v>
      </c>
      <c r="U93" s="2" t="b">
        <f t="shared" si="4"/>
        <v>1</v>
      </c>
      <c r="V93" s="2" t="b">
        <f t="shared" si="5"/>
        <v>0</v>
      </c>
      <c r="W93" s="2">
        <f t="shared" si="6"/>
        <v>113</v>
      </c>
      <c r="X93" s="2" t="str">
        <f t="shared" si="7"/>
        <v/>
      </c>
      <c r="Y93" s="2" t="b">
        <f>AND(ISODD(B93),ISODD(T93))</f>
        <v>0</v>
      </c>
      <c r="Z93" s="2" t="b">
        <f>AND(ISODD(B93),ISEVEN(T93))</f>
        <v>0</v>
      </c>
      <c r="AA93" s="2" t="b">
        <f>AND(ISEVEN(B93),ISODD(T93))</f>
        <v>1</v>
      </c>
      <c r="AB93" s="2" t="b">
        <f>AND(ISEVEN(B93),ISEVEN(T93))</f>
        <v>0</v>
      </c>
      <c r="AC93" s="2" t="str">
        <f>IF(AND(ISODD(B93),ISODD(T93)), B93, "")</f>
        <v/>
      </c>
      <c r="AD93" s="2" t="str">
        <f>IF(AND(ISODD(B93),ISEVEN(T93)), B93, "")</f>
        <v/>
      </c>
      <c r="AE93" s="2">
        <f>IF(AND(ISEVEN(B93),ISODD(T93)), B93, "")</f>
        <v>92</v>
      </c>
      <c r="AF93" s="2" t="str">
        <f>IF(AND(ISEVEN(B93),ISEVEN(T93)), B93, "")</f>
        <v/>
      </c>
      <c r="AG93" s="2">
        <f>IF(AND(ISODD(C93),ISODD(T93)), C93, "")</f>
        <v>21</v>
      </c>
      <c r="AH93" s="2" t="str">
        <f>IF(AND(ISODD(C93),ISEVEN(T93)), C93, "")</f>
        <v/>
      </c>
      <c r="AI93" s="2" t="str">
        <f>IF(AND(ISEVEN(C93),ISODD(T93)), C93, "")</f>
        <v/>
      </c>
      <c r="AJ93" s="2" t="str">
        <f>IF(AND(ISEVEN(C93),ISEVEN(T93)), C93, "")</f>
        <v/>
      </c>
      <c r="AK93" s="2">
        <f>IF(U93,B93, "")</f>
        <v>92</v>
      </c>
      <c r="AL93" s="2" t="str">
        <f>IF(V93, B93, "")</f>
        <v/>
      </c>
      <c r="AM93" s="2">
        <f>IF(U93, C93, "")</f>
        <v>21</v>
      </c>
      <c r="AN93" s="2" t="str">
        <f>IF(V93, C93, "")</f>
        <v/>
      </c>
    </row>
    <row r="94" spans="2:40" hidden="1" outlineLevel="1" x14ac:dyDescent="0.25">
      <c r="B94" s="2">
        <v>93</v>
      </c>
      <c r="C94" s="2">
        <v>11</v>
      </c>
      <c r="E94" s="2" t="b">
        <f>ISODD(B94)</f>
        <v>1</v>
      </c>
      <c r="F94" s="2" t="b">
        <f>ISEVEN(B94)</f>
        <v>0</v>
      </c>
      <c r="G94" s="2" t="b">
        <f>ISODD(C94)</f>
        <v>1</v>
      </c>
      <c r="H94" s="2" t="b">
        <f>ISEVEN(C94)</f>
        <v>0</v>
      </c>
      <c r="I94" s="2">
        <f>IF(E94, B94, "")</f>
        <v>93</v>
      </c>
      <c r="J94" s="2" t="str">
        <f>IF(F94, B94, "")</f>
        <v/>
      </c>
      <c r="K94" s="2">
        <f>IF(G94, C94, "")</f>
        <v>11</v>
      </c>
      <c r="L94" s="2" t="str">
        <f>IF(H94, C94, "")</f>
        <v/>
      </c>
      <c r="M94" s="2" t="b">
        <f>OR(AND(E94, G94), AND(F94, H94))</f>
        <v>1</v>
      </c>
      <c r="N94" s="2" t="b">
        <f>OR(AND(E94, H94), AND(F94, G94))</f>
        <v>0</v>
      </c>
      <c r="O94" s="2" t="b">
        <f>AND(E94, G94)</f>
        <v>1</v>
      </c>
      <c r="P94" s="2" t="b">
        <f>AND(F94, G94)</f>
        <v>0</v>
      </c>
      <c r="Q94" s="2" t="b">
        <f>AND(F94, H94)</f>
        <v>0</v>
      </c>
      <c r="R94" s="2" t="b">
        <f>AND(E94, H94)</f>
        <v>0</v>
      </c>
      <c r="T94" s="2">
        <f>SUM(B94, C94)</f>
        <v>104</v>
      </c>
      <c r="U94" s="2" t="b">
        <f t="shared" si="4"/>
        <v>0</v>
      </c>
      <c r="V94" s="2" t="b">
        <f t="shared" si="5"/>
        <v>1</v>
      </c>
      <c r="W94" s="2" t="str">
        <f t="shared" si="6"/>
        <v/>
      </c>
      <c r="X94" s="2">
        <f t="shared" si="7"/>
        <v>104</v>
      </c>
      <c r="Y94" s="2" t="b">
        <f>AND(ISODD(B94),ISODD(T94))</f>
        <v>0</v>
      </c>
      <c r="Z94" s="2" t="b">
        <f>AND(ISODD(B94),ISEVEN(T94))</f>
        <v>1</v>
      </c>
      <c r="AA94" s="2" t="b">
        <f>AND(ISEVEN(B94),ISODD(T94))</f>
        <v>0</v>
      </c>
      <c r="AB94" s="2" t="b">
        <f>AND(ISEVEN(B94),ISEVEN(T94))</f>
        <v>0</v>
      </c>
      <c r="AC94" s="2" t="str">
        <f>IF(AND(ISODD(B94),ISODD(T94)), B94, "")</f>
        <v/>
      </c>
      <c r="AD94" s="2">
        <f>IF(AND(ISODD(B94),ISEVEN(T94)), B94, "")</f>
        <v>93</v>
      </c>
      <c r="AE94" s="2" t="str">
        <f>IF(AND(ISEVEN(B94),ISODD(T94)), B94, "")</f>
        <v/>
      </c>
      <c r="AF94" s="2" t="str">
        <f>IF(AND(ISEVEN(B94),ISEVEN(T94)), B94, "")</f>
        <v/>
      </c>
      <c r="AG94" s="2" t="str">
        <f>IF(AND(ISODD(C94),ISODD(T94)), C94, "")</f>
        <v/>
      </c>
      <c r="AH94" s="2">
        <f>IF(AND(ISODD(C94),ISEVEN(T94)), C94, "")</f>
        <v>11</v>
      </c>
      <c r="AI94" s="2" t="str">
        <f>IF(AND(ISEVEN(C94),ISODD(T94)), C94, "")</f>
        <v/>
      </c>
      <c r="AJ94" s="2" t="str">
        <f>IF(AND(ISEVEN(C94),ISEVEN(T94)), C94, "")</f>
        <v/>
      </c>
      <c r="AK94" s="2" t="str">
        <f>IF(U94,B94, "")</f>
        <v/>
      </c>
      <c r="AL94" s="2">
        <f>IF(V94, B94, "")</f>
        <v>93</v>
      </c>
      <c r="AM94" s="2" t="str">
        <f>IF(U94, C94, "")</f>
        <v/>
      </c>
      <c r="AN94" s="2">
        <f>IF(V94, C94, "")</f>
        <v>11</v>
      </c>
    </row>
    <row r="95" spans="2:40" hidden="1" outlineLevel="1" x14ac:dyDescent="0.25">
      <c r="B95" s="2">
        <v>94</v>
      </c>
      <c r="C95" s="2">
        <v>8</v>
      </c>
      <c r="E95" s="2" t="b">
        <f>ISODD(B95)</f>
        <v>0</v>
      </c>
      <c r="F95" s="2" t="b">
        <f>ISEVEN(B95)</f>
        <v>1</v>
      </c>
      <c r="G95" s="2" t="b">
        <f>ISODD(C95)</f>
        <v>0</v>
      </c>
      <c r="H95" s="2" t="b">
        <f>ISEVEN(C95)</f>
        <v>1</v>
      </c>
      <c r="I95" s="2" t="str">
        <f>IF(E95, B95, "")</f>
        <v/>
      </c>
      <c r="J95" s="2">
        <f>IF(F95, B95, "")</f>
        <v>94</v>
      </c>
      <c r="K95" s="2" t="str">
        <f>IF(G95, C95, "")</f>
        <v/>
      </c>
      <c r="L95" s="2">
        <f>IF(H95, C95, "")</f>
        <v>8</v>
      </c>
      <c r="M95" s="2" t="b">
        <f>OR(AND(E95, G95), AND(F95, H95))</f>
        <v>1</v>
      </c>
      <c r="N95" s="2" t="b">
        <f>OR(AND(E95, H95), AND(F95, G95))</f>
        <v>0</v>
      </c>
      <c r="O95" s="2" t="b">
        <f>AND(E95, G95)</f>
        <v>0</v>
      </c>
      <c r="P95" s="2" t="b">
        <f>AND(F95, G95)</f>
        <v>0</v>
      </c>
      <c r="Q95" s="2" t="b">
        <f>AND(F95, H95)</f>
        <v>1</v>
      </c>
      <c r="R95" s="2" t="b">
        <f>AND(E95, H95)</f>
        <v>0</v>
      </c>
      <c r="T95" s="2">
        <f>SUM(B95, C95)</f>
        <v>102</v>
      </c>
      <c r="U95" s="2" t="b">
        <f t="shared" si="4"/>
        <v>0</v>
      </c>
      <c r="V95" s="2" t="b">
        <f t="shared" si="5"/>
        <v>1</v>
      </c>
      <c r="W95" s="2" t="str">
        <f t="shared" si="6"/>
        <v/>
      </c>
      <c r="X95" s="2">
        <f t="shared" si="7"/>
        <v>102</v>
      </c>
      <c r="Y95" s="2" t="b">
        <f>AND(ISODD(B95),ISODD(T95))</f>
        <v>0</v>
      </c>
      <c r="Z95" s="2" t="b">
        <f>AND(ISODD(B95),ISEVEN(T95))</f>
        <v>0</v>
      </c>
      <c r="AA95" s="2" t="b">
        <f>AND(ISEVEN(B95),ISODD(T95))</f>
        <v>0</v>
      </c>
      <c r="AB95" s="2" t="b">
        <f>AND(ISEVEN(B95),ISEVEN(T95))</f>
        <v>1</v>
      </c>
      <c r="AC95" s="2" t="str">
        <f>IF(AND(ISODD(B95),ISODD(T95)), B95, "")</f>
        <v/>
      </c>
      <c r="AD95" s="2" t="str">
        <f>IF(AND(ISODD(B95),ISEVEN(T95)), B95, "")</f>
        <v/>
      </c>
      <c r="AE95" s="2" t="str">
        <f>IF(AND(ISEVEN(B95),ISODD(T95)), B95, "")</f>
        <v/>
      </c>
      <c r="AF95" s="2">
        <f>IF(AND(ISEVEN(B95),ISEVEN(T95)), B95, "")</f>
        <v>94</v>
      </c>
      <c r="AG95" s="2" t="str">
        <f>IF(AND(ISODD(C95),ISODD(T95)), C95, "")</f>
        <v/>
      </c>
      <c r="AH95" s="2" t="str">
        <f>IF(AND(ISODD(C95),ISEVEN(T95)), C95, "")</f>
        <v/>
      </c>
      <c r="AI95" s="2" t="str">
        <f>IF(AND(ISEVEN(C95),ISODD(T95)), C95, "")</f>
        <v/>
      </c>
      <c r="AJ95" s="2">
        <f>IF(AND(ISEVEN(C95),ISEVEN(T95)), C95, "")</f>
        <v>8</v>
      </c>
      <c r="AK95" s="2" t="str">
        <f>IF(U95,B95, "")</f>
        <v/>
      </c>
      <c r="AL95" s="2">
        <f>IF(V95, B95, "")</f>
        <v>94</v>
      </c>
      <c r="AM95" s="2" t="str">
        <f>IF(U95, C95, "")</f>
        <v/>
      </c>
      <c r="AN95" s="2">
        <f>IF(V95, C95, "")</f>
        <v>8</v>
      </c>
    </row>
    <row r="96" spans="2:40" hidden="1" outlineLevel="1" x14ac:dyDescent="0.25">
      <c r="B96" s="2">
        <v>95</v>
      </c>
      <c r="C96" s="2">
        <v>8</v>
      </c>
      <c r="E96" s="2" t="b">
        <f>ISODD(B96)</f>
        <v>1</v>
      </c>
      <c r="F96" s="2" t="b">
        <f>ISEVEN(B96)</f>
        <v>0</v>
      </c>
      <c r="G96" s="2" t="b">
        <f>ISODD(C96)</f>
        <v>0</v>
      </c>
      <c r="H96" s="2" t="b">
        <f>ISEVEN(C96)</f>
        <v>1</v>
      </c>
      <c r="I96" s="2">
        <f>IF(E96, B96, "")</f>
        <v>95</v>
      </c>
      <c r="J96" s="2" t="str">
        <f>IF(F96, B96, "")</f>
        <v/>
      </c>
      <c r="K96" s="2" t="str">
        <f>IF(G96, C96, "")</f>
        <v/>
      </c>
      <c r="L96" s="2">
        <f>IF(H96, C96, "")</f>
        <v>8</v>
      </c>
      <c r="M96" s="2" t="b">
        <f>OR(AND(E96, G96), AND(F96, H96))</f>
        <v>0</v>
      </c>
      <c r="N96" s="2" t="b">
        <f>OR(AND(E96, H96), AND(F96, G96))</f>
        <v>1</v>
      </c>
      <c r="O96" s="2" t="b">
        <f>AND(E96, G96)</f>
        <v>0</v>
      </c>
      <c r="P96" s="2" t="b">
        <f>AND(F96, G96)</f>
        <v>0</v>
      </c>
      <c r="Q96" s="2" t="b">
        <f>AND(F96, H96)</f>
        <v>0</v>
      </c>
      <c r="R96" s="2" t="b">
        <f>AND(E96, H96)</f>
        <v>1</v>
      </c>
      <c r="T96" s="2">
        <f>SUM(B96, C96)</f>
        <v>103</v>
      </c>
      <c r="U96" s="2" t="b">
        <f t="shared" si="4"/>
        <v>1</v>
      </c>
      <c r="V96" s="2" t="b">
        <f t="shared" si="5"/>
        <v>0</v>
      </c>
      <c r="W96" s="2">
        <f t="shared" si="6"/>
        <v>103</v>
      </c>
      <c r="X96" s="2" t="str">
        <f t="shared" si="7"/>
        <v/>
      </c>
      <c r="Y96" s="2" t="b">
        <f>AND(ISODD(B96),ISODD(T96))</f>
        <v>1</v>
      </c>
      <c r="Z96" s="2" t="b">
        <f>AND(ISODD(B96),ISEVEN(T96))</f>
        <v>0</v>
      </c>
      <c r="AA96" s="2" t="b">
        <f>AND(ISEVEN(B96),ISODD(T96))</f>
        <v>0</v>
      </c>
      <c r="AB96" s="2" t="b">
        <f>AND(ISEVEN(B96),ISEVEN(T96))</f>
        <v>0</v>
      </c>
      <c r="AC96" s="2">
        <f>IF(AND(ISODD(B96),ISODD(T96)), B96, "")</f>
        <v>95</v>
      </c>
      <c r="AD96" s="2" t="str">
        <f>IF(AND(ISODD(B96),ISEVEN(T96)), B96, "")</f>
        <v/>
      </c>
      <c r="AE96" s="2" t="str">
        <f>IF(AND(ISEVEN(B96),ISODD(T96)), B96, "")</f>
        <v/>
      </c>
      <c r="AF96" s="2" t="str">
        <f>IF(AND(ISEVEN(B96),ISEVEN(T96)), B96, "")</f>
        <v/>
      </c>
      <c r="AG96" s="2" t="str">
        <f>IF(AND(ISODD(C96),ISODD(T96)), C96, "")</f>
        <v/>
      </c>
      <c r="AH96" s="2" t="str">
        <f>IF(AND(ISODD(C96),ISEVEN(T96)), C96, "")</f>
        <v/>
      </c>
      <c r="AI96" s="2">
        <f>IF(AND(ISEVEN(C96),ISODD(T96)), C96, "")</f>
        <v>8</v>
      </c>
      <c r="AJ96" s="2" t="str">
        <f>IF(AND(ISEVEN(C96),ISEVEN(T96)), C96, "")</f>
        <v/>
      </c>
      <c r="AK96" s="2">
        <f>IF(U96,B96, "")</f>
        <v>95</v>
      </c>
      <c r="AL96" s="2" t="str">
        <f>IF(V96, B96, "")</f>
        <v/>
      </c>
      <c r="AM96" s="2">
        <f>IF(U96, C96, "")</f>
        <v>8</v>
      </c>
      <c r="AN96" s="2" t="str">
        <f>IF(V96, C96, "")</f>
        <v/>
      </c>
    </row>
    <row r="97" spans="2:40" hidden="1" outlineLevel="1" x14ac:dyDescent="0.25">
      <c r="B97" s="2">
        <v>96</v>
      </c>
      <c r="C97" s="2">
        <v>19</v>
      </c>
      <c r="E97" s="2" t="b">
        <f>ISODD(B97)</f>
        <v>0</v>
      </c>
      <c r="F97" s="2" t="b">
        <f>ISEVEN(B97)</f>
        <v>1</v>
      </c>
      <c r="G97" s="2" t="b">
        <f>ISODD(C97)</f>
        <v>1</v>
      </c>
      <c r="H97" s="2" t="b">
        <f>ISEVEN(C97)</f>
        <v>0</v>
      </c>
      <c r="I97" s="2" t="str">
        <f>IF(E97, B97, "")</f>
        <v/>
      </c>
      <c r="J97" s="2">
        <f>IF(F97, B97, "")</f>
        <v>96</v>
      </c>
      <c r="K97" s="2">
        <f>IF(G97, C97, "")</f>
        <v>19</v>
      </c>
      <c r="L97" s="2" t="str">
        <f>IF(H97, C97, "")</f>
        <v/>
      </c>
      <c r="M97" s="2" t="b">
        <f>OR(AND(E97, G97), AND(F97, H97))</f>
        <v>0</v>
      </c>
      <c r="N97" s="2" t="b">
        <f>OR(AND(E97, H97), AND(F97, G97))</f>
        <v>1</v>
      </c>
      <c r="O97" s="2" t="b">
        <f>AND(E97, G97)</f>
        <v>0</v>
      </c>
      <c r="P97" s="2" t="b">
        <f>AND(F97, G97)</f>
        <v>1</v>
      </c>
      <c r="Q97" s="2" t="b">
        <f>AND(F97, H97)</f>
        <v>0</v>
      </c>
      <c r="R97" s="2" t="b">
        <f>AND(E97, H97)</f>
        <v>0</v>
      </c>
      <c r="T97" s="2">
        <f>SUM(B97, C97)</f>
        <v>115</v>
      </c>
      <c r="U97" s="2" t="b">
        <f t="shared" si="4"/>
        <v>1</v>
      </c>
      <c r="V97" s="2" t="b">
        <f t="shared" si="5"/>
        <v>0</v>
      </c>
      <c r="W97" s="2">
        <f t="shared" si="6"/>
        <v>115</v>
      </c>
      <c r="X97" s="2" t="str">
        <f t="shared" si="7"/>
        <v/>
      </c>
      <c r="Y97" s="2" t="b">
        <f>AND(ISODD(B97),ISODD(T97))</f>
        <v>0</v>
      </c>
      <c r="Z97" s="2" t="b">
        <f>AND(ISODD(B97),ISEVEN(T97))</f>
        <v>0</v>
      </c>
      <c r="AA97" s="2" t="b">
        <f>AND(ISEVEN(B97),ISODD(T97))</f>
        <v>1</v>
      </c>
      <c r="AB97" s="2" t="b">
        <f>AND(ISEVEN(B97),ISEVEN(T97))</f>
        <v>0</v>
      </c>
      <c r="AC97" s="2" t="str">
        <f>IF(AND(ISODD(B97),ISODD(T97)), B97, "")</f>
        <v/>
      </c>
      <c r="AD97" s="2" t="str">
        <f>IF(AND(ISODD(B97),ISEVEN(T97)), B97, "")</f>
        <v/>
      </c>
      <c r="AE97" s="2">
        <f>IF(AND(ISEVEN(B97),ISODD(T97)), B97, "")</f>
        <v>96</v>
      </c>
      <c r="AF97" s="2" t="str">
        <f>IF(AND(ISEVEN(B97),ISEVEN(T97)), B97, "")</f>
        <v/>
      </c>
      <c r="AG97" s="2">
        <f>IF(AND(ISODD(C97),ISODD(T97)), C97, "")</f>
        <v>19</v>
      </c>
      <c r="AH97" s="2" t="str">
        <f>IF(AND(ISODD(C97),ISEVEN(T97)), C97, "")</f>
        <v/>
      </c>
      <c r="AI97" s="2" t="str">
        <f>IF(AND(ISEVEN(C97),ISODD(T97)), C97, "")</f>
        <v/>
      </c>
      <c r="AJ97" s="2" t="str">
        <f>IF(AND(ISEVEN(C97),ISEVEN(T97)), C97, "")</f>
        <v/>
      </c>
      <c r="AK97" s="2">
        <f>IF(U97,B97, "")</f>
        <v>96</v>
      </c>
      <c r="AL97" s="2" t="str">
        <f>IF(V97, B97, "")</f>
        <v/>
      </c>
      <c r="AM97" s="2">
        <f>IF(U97, C97, "")</f>
        <v>19</v>
      </c>
      <c r="AN97" s="2" t="str">
        <f>IF(V97, C97, "")</f>
        <v/>
      </c>
    </row>
    <row r="98" spans="2:40" hidden="1" outlineLevel="1" x14ac:dyDescent="0.25">
      <c r="B98" s="2">
        <v>97</v>
      </c>
      <c r="C98" s="2">
        <v>5</v>
      </c>
      <c r="E98" s="2" t="b">
        <f>ISODD(B98)</f>
        <v>1</v>
      </c>
      <c r="F98" s="2" t="b">
        <f>ISEVEN(B98)</f>
        <v>0</v>
      </c>
      <c r="G98" s="2" t="b">
        <f>ISODD(C98)</f>
        <v>1</v>
      </c>
      <c r="H98" s="2" t="b">
        <f>ISEVEN(C98)</f>
        <v>0</v>
      </c>
      <c r="I98" s="2">
        <f>IF(E98, B98, "")</f>
        <v>97</v>
      </c>
      <c r="J98" s="2" t="str">
        <f>IF(F98, B98, "")</f>
        <v/>
      </c>
      <c r="K98" s="2">
        <f>IF(G98, C98, "")</f>
        <v>5</v>
      </c>
      <c r="L98" s="2" t="str">
        <f>IF(H98, C98, "")</f>
        <v/>
      </c>
      <c r="M98" s="2" t="b">
        <f>OR(AND(E98, G98), AND(F98, H98))</f>
        <v>1</v>
      </c>
      <c r="N98" s="2" t="b">
        <f>OR(AND(E98, H98), AND(F98, G98))</f>
        <v>0</v>
      </c>
      <c r="O98" s="2" t="b">
        <f>AND(E98, G98)</f>
        <v>1</v>
      </c>
      <c r="P98" s="2" t="b">
        <f>AND(F98, G98)</f>
        <v>0</v>
      </c>
      <c r="Q98" s="2" t="b">
        <f>AND(F98, H98)</f>
        <v>0</v>
      </c>
      <c r="R98" s="2" t="b">
        <f>AND(E98, H98)</f>
        <v>0</v>
      </c>
      <c r="T98" s="2">
        <f>SUM(B98, C98)</f>
        <v>102</v>
      </c>
      <c r="U98" s="2" t="b">
        <f t="shared" si="4"/>
        <v>0</v>
      </c>
      <c r="V98" s="2" t="b">
        <f t="shared" si="5"/>
        <v>1</v>
      </c>
      <c r="W98" s="2" t="str">
        <f t="shared" si="6"/>
        <v/>
      </c>
      <c r="X98" s="2">
        <f t="shared" si="7"/>
        <v>102</v>
      </c>
      <c r="Y98" s="2" t="b">
        <f>AND(ISODD(B98),ISODD(T98))</f>
        <v>0</v>
      </c>
      <c r="Z98" s="2" t="b">
        <f>AND(ISODD(B98),ISEVEN(T98))</f>
        <v>1</v>
      </c>
      <c r="AA98" s="2" t="b">
        <f>AND(ISEVEN(B98),ISODD(T98))</f>
        <v>0</v>
      </c>
      <c r="AB98" s="2" t="b">
        <f>AND(ISEVEN(B98),ISEVEN(T98))</f>
        <v>0</v>
      </c>
      <c r="AC98" s="2" t="str">
        <f>IF(AND(ISODD(B98),ISODD(T98)), B98, "")</f>
        <v/>
      </c>
      <c r="AD98" s="2">
        <f>IF(AND(ISODD(B98),ISEVEN(T98)), B98, "")</f>
        <v>97</v>
      </c>
      <c r="AE98" s="2" t="str">
        <f>IF(AND(ISEVEN(B98),ISODD(T98)), B98, "")</f>
        <v/>
      </c>
      <c r="AF98" s="2" t="str">
        <f>IF(AND(ISEVEN(B98),ISEVEN(T98)), B98, "")</f>
        <v/>
      </c>
      <c r="AG98" s="2" t="str">
        <f>IF(AND(ISODD(C98),ISODD(T98)), C98, "")</f>
        <v/>
      </c>
      <c r="AH98" s="2">
        <f>IF(AND(ISODD(C98),ISEVEN(T98)), C98, "")</f>
        <v>5</v>
      </c>
      <c r="AI98" s="2" t="str">
        <f>IF(AND(ISEVEN(C98),ISODD(T98)), C98, "")</f>
        <v/>
      </c>
      <c r="AJ98" s="2" t="str">
        <f>IF(AND(ISEVEN(C98),ISEVEN(T98)), C98, "")</f>
        <v/>
      </c>
      <c r="AK98" s="2" t="str">
        <f>IF(U98,B98, "")</f>
        <v/>
      </c>
      <c r="AL98" s="2">
        <f>IF(V98, B98, "")</f>
        <v>97</v>
      </c>
      <c r="AM98" s="2" t="str">
        <f>IF(U98, C98, "")</f>
        <v/>
      </c>
      <c r="AN98" s="2">
        <f>IF(V98, C98, "")</f>
        <v>5</v>
      </c>
    </row>
    <row r="99" spans="2:40" hidden="1" outlineLevel="1" x14ac:dyDescent="0.25">
      <c r="B99" s="2">
        <v>98</v>
      </c>
      <c r="C99" s="2">
        <v>8</v>
      </c>
      <c r="E99" s="2" t="b">
        <f>ISODD(B99)</f>
        <v>0</v>
      </c>
      <c r="F99" s="2" t="b">
        <f>ISEVEN(B99)</f>
        <v>1</v>
      </c>
      <c r="G99" s="2" t="b">
        <f>ISODD(C99)</f>
        <v>0</v>
      </c>
      <c r="H99" s="2" t="b">
        <f>ISEVEN(C99)</f>
        <v>1</v>
      </c>
      <c r="I99" s="2" t="str">
        <f>IF(E99, B99, "")</f>
        <v/>
      </c>
      <c r="J99" s="2">
        <f>IF(F99, B99, "")</f>
        <v>98</v>
      </c>
      <c r="K99" s="2" t="str">
        <f>IF(G99, C99, "")</f>
        <v/>
      </c>
      <c r="L99" s="2">
        <f>IF(H99, C99, "")</f>
        <v>8</v>
      </c>
      <c r="M99" s="2" t="b">
        <f>OR(AND(E99, G99), AND(F99, H99))</f>
        <v>1</v>
      </c>
      <c r="N99" s="2" t="b">
        <f>OR(AND(E99, H99), AND(F99, G99))</f>
        <v>0</v>
      </c>
      <c r="O99" s="2" t="b">
        <f>AND(E99, G99)</f>
        <v>0</v>
      </c>
      <c r="P99" s="2" t="b">
        <f>AND(F99, G99)</f>
        <v>0</v>
      </c>
      <c r="Q99" s="2" t="b">
        <f>AND(F99, H99)</f>
        <v>1</v>
      </c>
      <c r="R99" s="2" t="b">
        <f>AND(E99, H99)</f>
        <v>0</v>
      </c>
      <c r="T99" s="2">
        <f>SUM(B99, C99)</f>
        <v>106</v>
      </c>
      <c r="U99" s="2" t="b">
        <f t="shared" si="4"/>
        <v>0</v>
      </c>
      <c r="V99" s="2" t="b">
        <f t="shared" si="5"/>
        <v>1</v>
      </c>
      <c r="W99" s="2" t="str">
        <f t="shared" si="6"/>
        <v/>
      </c>
      <c r="X99" s="2">
        <f t="shared" si="7"/>
        <v>106</v>
      </c>
      <c r="Y99" s="2" t="b">
        <f>AND(ISODD(B99),ISODD(T99))</f>
        <v>0</v>
      </c>
      <c r="Z99" s="2" t="b">
        <f>AND(ISODD(B99),ISEVEN(T99))</f>
        <v>0</v>
      </c>
      <c r="AA99" s="2" t="b">
        <f>AND(ISEVEN(B99),ISODD(T99))</f>
        <v>0</v>
      </c>
      <c r="AB99" s="2" t="b">
        <f>AND(ISEVEN(B99),ISEVEN(T99))</f>
        <v>1</v>
      </c>
      <c r="AC99" s="2" t="str">
        <f>IF(AND(ISODD(B99),ISODD(T99)), B99, "")</f>
        <v/>
      </c>
      <c r="AD99" s="2" t="str">
        <f>IF(AND(ISODD(B99),ISEVEN(T99)), B99, "")</f>
        <v/>
      </c>
      <c r="AE99" s="2" t="str">
        <f>IF(AND(ISEVEN(B99),ISODD(T99)), B99, "")</f>
        <v/>
      </c>
      <c r="AF99" s="2">
        <f>IF(AND(ISEVEN(B99),ISEVEN(T99)), B99, "")</f>
        <v>98</v>
      </c>
      <c r="AG99" s="2" t="str">
        <f>IF(AND(ISODD(C99),ISODD(T99)), C99, "")</f>
        <v/>
      </c>
      <c r="AH99" s="2" t="str">
        <f>IF(AND(ISODD(C99),ISEVEN(T99)), C99, "")</f>
        <v/>
      </c>
      <c r="AI99" s="2" t="str">
        <f>IF(AND(ISEVEN(C99),ISODD(T99)), C99, "")</f>
        <v/>
      </c>
      <c r="AJ99" s="2">
        <f>IF(AND(ISEVEN(C99),ISEVEN(T99)), C99, "")</f>
        <v>8</v>
      </c>
      <c r="AK99" s="2" t="str">
        <f>IF(U99,B99, "")</f>
        <v/>
      </c>
      <c r="AL99" s="2">
        <f>IF(V99, B99, "")</f>
        <v>98</v>
      </c>
      <c r="AM99" s="2" t="str">
        <f>IF(U99, C99, "")</f>
        <v/>
      </c>
      <c r="AN99" s="2">
        <f>IF(V99, C99, "")</f>
        <v>8</v>
      </c>
    </row>
    <row r="100" spans="2:40" hidden="1" outlineLevel="1" x14ac:dyDescent="0.25">
      <c r="B100" s="2">
        <v>99</v>
      </c>
      <c r="C100" s="2">
        <v>8</v>
      </c>
      <c r="E100" s="2" t="b">
        <f>ISODD(B100)</f>
        <v>1</v>
      </c>
      <c r="F100" s="2" t="b">
        <f>ISEVEN(B100)</f>
        <v>0</v>
      </c>
      <c r="G100" s="2" t="b">
        <f>ISODD(C100)</f>
        <v>0</v>
      </c>
      <c r="H100" s="2" t="b">
        <f>ISEVEN(C100)</f>
        <v>1</v>
      </c>
      <c r="I100" s="2">
        <f>IF(E100, B100, "")</f>
        <v>99</v>
      </c>
      <c r="J100" s="2" t="str">
        <f>IF(F100, B100, "")</f>
        <v/>
      </c>
      <c r="K100" s="2" t="str">
        <f>IF(G100, C100, "")</f>
        <v/>
      </c>
      <c r="L100" s="2">
        <f>IF(H100, C100, "")</f>
        <v>8</v>
      </c>
      <c r="M100" s="2" t="b">
        <f>OR(AND(E100, G100), AND(F100, H100))</f>
        <v>0</v>
      </c>
      <c r="N100" s="2" t="b">
        <f>OR(AND(E100, H100), AND(F100, G100))</f>
        <v>1</v>
      </c>
      <c r="O100" s="2" t="b">
        <f>AND(E100, G100)</f>
        <v>0</v>
      </c>
      <c r="P100" s="2" t="b">
        <f>AND(F100, G100)</f>
        <v>0</v>
      </c>
      <c r="Q100" s="2" t="b">
        <f>AND(F100, H100)</f>
        <v>0</v>
      </c>
      <c r="R100" s="2" t="b">
        <f>AND(E100, H100)</f>
        <v>1</v>
      </c>
      <c r="T100" s="2">
        <f>SUM(B100, C100)</f>
        <v>107</v>
      </c>
      <c r="U100" s="2" t="b">
        <f t="shared" si="4"/>
        <v>1</v>
      </c>
      <c r="V100" s="2" t="b">
        <f t="shared" si="5"/>
        <v>0</v>
      </c>
      <c r="W100" s="2">
        <f t="shared" si="6"/>
        <v>107</v>
      </c>
      <c r="X100" s="2" t="str">
        <f t="shared" si="7"/>
        <v/>
      </c>
      <c r="Y100" s="2" t="b">
        <f>AND(ISODD(B100),ISODD(T100))</f>
        <v>1</v>
      </c>
      <c r="Z100" s="2" t="b">
        <f>AND(ISODD(B100),ISEVEN(T100))</f>
        <v>0</v>
      </c>
      <c r="AA100" s="2" t="b">
        <f>AND(ISEVEN(B100),ISODD(T100))</f>
        <v>0</v>
      </c>
      <c r="AB100" s="2" t="b">
        <f>AND(ISEVEN(B100),ISEVEN(T100))</f>
        <v>0</v>
      </c>
      <c r="AC100" s="2">
        <f>IF(AND(ISODD(B100),ISODD(T100)), B100, "")</f>
        <v>99</v>
      </c>
      <c r="AD100" s="2" t="str">
        <f>IF(AND(ISODD(B100),ISEVEN(T100)), B100, "")</f>
        <v/>
      </c>
      <c r="AE100" s="2" t="str">
        <f>IF(AND(ISEVEN(B100),ISODD(T100)), B100, "")</f>
        <v/>
      </c>
      <c r="AF100" s="2" t="str">
        <f>IF(AND(ISEVEN(B100),ISEVEN(T100)), B100, "")</f>
        <v/>
      </c>
      <c r="AG100" s="2" t="str">
        <f>IF(AND(ISODD(C100),ISODD(T100)), C100, "")</f>
        <v/>
      </c>
      <c r="AH100" s="2" t="str">
        <f>IF(AND(ISODD(C100),ISEVEN(T100)), C100, "")</f>
        <v/>
      </c>
      <c r="AI100" s="2">
        <f>IF(AND(ISEVEN(C100),ISODD(T100)), C100, "")</f>
        <v>8</v>
      </c>
      <c r="AJ100" s="2" t="str">
        <f>IF(AND(ISEVEN(C100),ISEVEN(T100)), C100, "")</f>
        <v/>
      </c>
      <c r="AK100" s="2">
        <f>IF(U100,B100, "")</f>
        <v>99</v>
      </c>
      <c r="AL100" s="2" t="str">
        <f>IF(V100, B100, "")</f>
        <v/>
      </c>
      <c r="AM100" s="2">
        <f>IF(U100, C100, "")</f>
        <v>8</v>
      </c>
      <c r="AN100" s="2" t="str">
        <f>IF(V100, C100, "")</f>
        <v/>
      </c>
    </row>
    <row r="101" spans="2:40" hidden="1" outlineLevel="1" x14ac:dyDescent="0.25">
      <c r="B101" s="2">
        <v>100</v>
      </c>
      <c r="C101" s="2">
        <v>11</v>
      </c>
      <c r="E101" s="2" t="b">
        <f>ISODD(B101)</f>
        <v>0</v>
      </c>
      <c r="F101" s="2" t="b">
        <f>ISEVEN(B101)</f>
        <v>1</v>
      </c>
      <c r="G101" s="2" t="b">
        <f>ISODD(C101)</f>
        <v>1</v>
      </c>
      <c r="H101" s="2" t="b">
        <f>ISEVEN(C101)</f>
        <v>0</v>
      </c>
      <c r="I101" s="2" t="str">
        <f>IF(E101, B101, "")</f>
        <v/>
      </c>
      <c r="J101" s="2">
        <f>IF(F101, B101, "")</f>
        <v>100</v>
      </c>
      <c r="K101" s="2">
        <f>IF(G101, C101, "")</f>
        <v>11</v>
      </c>
      <c r="L101" s="2" t="str">
        <f>IF(H101, C101, "")</f>
        <v/>
      </c>
      <c r="M101" s="2" t="b">
        <f>OR(AND(E101, G101), AND(F101, H101))</f>
        <v>0</v>
      </c>
      <c r="N101" s="2" t="b">
        <f>OR(AND(E101, H101), AND(F101, G101))</f>
        <v>1</v>
      </c>
      <c r="O101" s="2" t="b">
        <f>AND(E101, G101)</f>
        <v>0</v>
      </c>
      <c r="P101" s="2" t="b">
        <f>AND(F101, G101)</f>
        <v>1</v>
      </c>
      <c r="Q101" s="2" t="b">
        <f>AND(F101, H101)</f>
        <v>0</v>
      </c>
      <c r="R101" s="2" t="b">
        <f>AND(E101, H101)</f>
        <v>0</v>
      </c>
      <c r="T101" s="2">
        <f>SUM(B101, C101)</f>
        <v>111</v>
      </c>
      <c r="U101" s="2" t="b">
        <f t="shared" si="4"/>
        <v>1</v>
      </c>
      <c r="V101" s="2" t="b">
        <f t="shared" si="5"/>
        <v>0</v>
      </c>
      <c r="W101" s="2">
        <f t="shared" si="6"/>
        <v>111</v>
      </c>
      <c r="X101" s="2" t="str">
        <f t="shared" si="7"/>
        <v/>
      </c>
      <c r="Y101" s="2" t="b">
        <f>AND(ISODD(B101),ISODD(T101))</f>
        <v>0</v>
      </c>
      <c r="Z101" s="2" t="b">
        <f>AND(ISODD(B101),ISEVEN(T101))</f>
        <v>0</v>
      </c>
      <c r="AA101" s="2" t="b">
        <f>AND(ISEVEN(B101),ISODD(T101))</f>
        <v>1</v>
      </c>
      <c r="AB101" s="2" t="b">
        <f>AND(ISEVEN(B101),ISEVEN(T101))</f>
        <v>0</v>
      </c>
      <c r="AC101" s="2" t="str">
        <f>IF(AND(ISODD(B101),ISODD(T101)), B101, "")</f>
        <v/>
      </c>
      <c r="AD101" s="2" t="str">
        <f>IF(AND(ISODD(B101),ISEVEN(T101)), B101, "")</f>
        <v/>
      </c>
      <c r="AE101" s="2">
        <f>IF(AND(ISEVEN(B101),ISODD(T101)), B101, "")</f>
        <v>100</v>
      </c>
      <c r="AF101" s="2" t="str">
        <f>IF(AND(ISEVEN(B101),ISEVEN(T101)), B101, "")</f>
        <v/>
      </c>
      <c r="AG101" s="2">
        <f>IF(AND(ISODD(C101),ISODD(T101)), C101, "")</f>
        <v>11</v>
      </c>
      <c r="AH101" s="2" t="str">
        <f>IF(AND(ISODD(C101),ISEVEN(T101)), C101, "")</f>
        <v/>
      </c>
      <c r="AI101" s="2" t="str">
        <f>IF(AND(ISEVEN(C101),ISODD(T101)), C101, "")</f>
        <v/>
      </c>
      <c r="AJ101" s="2" t="str">
        <f>IF(AND(ISEVEN(C101),ISEVEN(T101)), C101, "")</f>
        <v/>
      </c>
      <c r="AK101" s="2">
        <f>IF(U101,B101, "")</f>
        <v>100</v>
      </c>
      <c r="AL101" s="2" t="str">
        <f>IF(V101, B101, "")</f>
        <v/>
      </c>
      <c r="AM101" s="2">
        <f>IF(U101, C101, "")</f>
        <v>11</v>
      </c>
      <c r="AN101" s="2" t="str">
        <f>IF(V101, C101, "")</f>
        <v/>
      </c>
    </row>
    <row r="102" spans="2:40" hidden="1" outlineLevel="1" x14ac:dyDescent="0.25">
      <c r="B102" s="2">
        <v>101</v>
      </c>
      <c r="C102" s="2">
        <v>11</v>
      </c>
      <c r="E102" s="2" t="b">
        <f>ISODD(B102)</f>
        <v>1</v>
      </c>
      <c r="F102" s="2" t="b">
        <f>ISEVEN(B102)</f>
        <v>0</v>
      </c>
      <c r="G102" s="2" t="b">
        <f>ISODD(C102)</f>
        <v>1</v>
      </c>
      <c r="H102" s="2" t="b">
        <f>ISEVEN(C102)</f>
        <v>0</v>
      </c>
      <c r="I102" s="2">
        <f>IF(E102, B102, "")</f>
        <v>101</v>
      </c>
      <c r="J102" s="2" t="str">
        <f>IF(F102, B102, "")</f>
        <v/>
      </c>
      <c r="K102" s="2">
        <f>IF(G102, C102, "")</f>
        <v>11</v>
      </c>
      <c r="L102" s="2" t="str">
        <f>IF(H102, C102, "")</f>
        <v/>
      </c>
      <c r="M102" s="2" t="b">
        <f>OR(AND(E102, G102), AND(F102, H102))</f>
        <v>1</v>
      </c>
      <c r="N102" s="2" t="b">
        <f>OR(AND(E102, H102), AND(F102, G102))</f>
        <v>0</v>
      </c>
      <c r="O102" s="2" t="b">
        <f>AND(E102, G102)</f>
        <v>1</v>
      </c>
      <c r="P102" s="2" t="b">
        <f>AND(F102, G102)</f>
        <v>0</v>
      </c>
      <c r="Q102" s="2" t="b">
        <f>AND(F102, H102)</f>
        <v>0</v>
      </c>
      <c r="R102" s="2" t="b">
        <f>AND(E102, H102)</f>
        <v>0</v>
      </c>
      <c r="T102" s="2">
        <f>SUM(B102, C102)</f>
        <v>112</v>
      </c>
      <c r="U102" s="2" t="b">
        <f t="shared" si="4"/>
        <v>0</v>
      </c>
      <c r="V102" s="2" t="b">
        <f t="shared" si="5"/>
        <v>1</v>
      </c>
      <c r="W102" s="2" t="str">
        <f t="shared" si="6"/>
        <v/>
      </c>
      <c r="X102" s="2">
        <f t="shared" si="7"/>
        <v>112</v>
      </c>
      <c r="Y102" s="2" t="b">
        <f>AND(ISODD(B102),ISODD(T102))</f>
        <v>0</v>
      </c>
      <c r="Z102" s="2" t="b">
        <f>AND(ISODD(B102),ISEVEN(T102))</f>
        <v>1</v>
      </c>
      <c r="AA102" s="2" t="b">
        <f>AND(ISEVEN(B102),ISODD(T102))</f>
        <v>0</v>
      </c>
      <c r="AB102" s="2" t="b">
        <f>AND(ISEVEN(B102),ISEVEN(T102))</f>
        <v>0</v>
      </c>
      <c r="AC102" s="2" t="str">
        <f>IF(AND(ISODD(B102),ISODD(T102)), B102, "")</f>
        <v/>
      </c>
      <c r="AD102" s="2">
        <f>IF(AND(ISODD(B102),ISEVEN(T102)), B102, "")</f>
        <v>101</v>
      </c>
      <c r="AE102" s="2" t="str">
        <f>IF(AND(ISEVEN(B102),ISODD(T102)), B102, "")</f>
        <v/>
      </c>
      <c r="AF102" s="2" t="str">
        <f>IF(AND(ISEVEN(B102),ISEVEN(T102)), B102, "")</f>
        <v/>
      </c>
      <c r="AG102" s="2" t="str">
        <f>IF(AND(ISODD(C102),ISODD(T102)), C102, "")</f>
        <v/>
      </c>
      <c r="AH102" s="2">
        <f>IF(AND(ISODD(C102),ISEVEN(T102)), C102, "")</f>
        <v>11</v>
      </c>
      <c r="AI102" s="2" t="str">
        <f>IF(AND(ISEVEN(C102),ISODD(T102)), C102, "")</f>
        <v/>
      </c>
      <c r="AJ102" s="2" t="str">
        <f>IF(AND(ISEVEN(C102),ISEVEN(T102)), C102, "")</f>
        <v/>
      </c>
      <c r="AK102" s="2" t="str">
        <f>IF(U102,B102, "")</f>
        <v/>
      </c>
      <c r="AL102" s="2">
        <f>IF(V102, B102, "")</f>
        <v>101</v>
      </c>
      <c r="AM102" s="2" t="str">
        <f>IF(U102, C102, "")</f>
        <v/>
      </c>
      <c r="AN102" s="2">
        <f>IF(V102, C102, "")</f>
        <v>11</v>
      </c>
    </row>
    <row r="103" spans="2:40" hidden="1" outlineLevel="1" x14ac:dyDescent="0.25">
      <c r="B103" s="2">
        <v>102</v>
      </c>
      <c r="C103" s="2">
        <v>8</v>
      </c>
      <c r="E103" s="2" t="b">
        <f>ISODD(B103)</f>
        <v>0</v>
      </c>
      <c r="F103" s="2" t="b">
        <f>ISEVEN(B103)</f>
        <v>1</v>
      </c>
      <c r="G103" s="2" t="b">
        <f>ISODD(C103)</f>
        <v>0</v>
      </c>
      <c r="H103" s="2" t="b">
        <f>ISEVEN(C103)</f>
        <v>1</v>
      </c>
      <c r="I103" s="2" t="str">
        <f>IF(E103, B103, "")</f>
        <v/>
      </c>
      <c r="J103" s="2">
        <f>IF(F103, B103, "")</f>
        <v>102</v>
      </c>
      <c r="K103" s="2" t="str">
        <f>IF(G103, C103, "")</f>
        <v/>
      </c>
      <c r="L103" s="2">
        <f>IF(H103, C103, "")</f>
        <v>8</v>
      </c>
      <c r="M103" s="2" t="b">
        <f>OR(AND(E103, G103), AND(F103, H103))</f>
        <v>1</v>
      </c>
      <c r="N103" s="2" t="b">
        <f>OR(AND(E103, H103), AND(F103, G103))</f>
        <v>0</v>
      </c>
      <c r="O103" s="2" t="b">
        <f>AND(E103, G103)</f>
        <v>0</v>
      </c>
      <c r="P103" s="2" t="b">
        <f>AND(F103, G103)</f>
        <v>0</v>
      </c>
      <c r="Q103" s="2" t="b">
        <f>AND(F103, H103)</f>
        <v>1</v>
      </c>
      <c r="R103" s="2" t="b">
        <f>AND(E103, H103)</f>
        <v>0</v>
      </c>
      <c r="T103" s="2">
        <f>SUM(B103, C103)</f>
        <v>110</v>
      </c>
      <c r="U103" s="2" t="b">
        <f t="shared" si="4"/>
        <v>0</v>
      </c>
      <c r="V103" s="2" t="b">
        <f t="shared" si="5"/>
        <v>1</v>
      </c>
      <c r="W103" s="2" t="str">
        <f t="shared" si="6"/>
        <v/>
      </c>
      <c r="X103" s="2">
        <f t="shared" si="7"/>
        <v>110</v>
      </c>
      <c r="Y103" s="2" t="b">
        <f>AND(ISODD(B103),ISODD(T103))</f>
        <v>0</v>
      </c>
      <c r="Z103" s="2" t="b">
        <f>AND(ISODD(B103),ISEVEN(T103))</f>
        <v>0</v>
      </c>
      <c r="AA103" s="2" t="b">
        <f>AND(ISEVEN(B103),ISODD(T103))</f>
        <v>0</v>
      </c>
      <c r="AB103" s="2" t="b">
        <f>AND(ISEVEN(B103),ISEVEN(T103))</f>
        <v>1</v>
      </c>
      <c r="AC103" s="2" t="str">
        <f>IF(AND(ISODD(B103),ISODD(T103)), B103, "")</f>
        <v/>
      </c>
      <c r="AD103" s="2" t="str">
        <f>IF(AND(ISODD(B103),ISEVEN(T103)), B103, "")</f>
        <v/>
      </c>
      <c r="AE103" s="2" t="str">
        <f>IF(AND(ISEVEN(B103),ISODD(T103)), B103, "")</f>
        <v/>
      </c>
      <c r="AF103" s="2">
        <f>IF(AND(ISEVEN(B103),ISEVEN(T103)), B103, "")</f>
        <v>102</v>
      </c>
      <c r="AG103" s="2" t="str">
        <f>IF(AND(ISODD(C103),ISODD(T103)), C103, "")</f>
        <v/>
      </c>
      <c r="AH103" s="2" t="str">
        <f>IF(AND(ISODD(C103),ISEVEN(T103)), C103, "")</f>
        <v/>
      </c>
      <c r="AI103" s="2" t="str">
        <f>IF(AND(ISEVEN(C103),ISODD(T103)), C103, "")</f>
        <v/>
      </c>
      <c r="AJ103" s="2">
        <f>IF(AND(ISEVEN(C103),ISEVEN(T103)), C103, "")</f>
        <v>8</v>
      </c>
      <c r="AK103" s="2" t="str">
        <f>IF(U103,B103, "")</f>
        <v/>
      </c>
      <c r="AL103" s="2">
        <f>IF(V103, B103, "")</f>
        <v>102</v>
      </c>
      <c r="AM103" s="2" t="str">
        <f>IF(U103, C103, "")</f>
        <v/>
      </c>
      <c r="AN103" s="2">
        <f>IF(V103, C103, "")</f>
        <v>8</v>
      </c>
    </row>
    <row r="104" spans="2:40" hidden="1" outlineLevel="1" x14ac:dyDescent="0.25">
      <c r="B104" s="2">
        <v>103</v>
      </c>
      <c r="C104" s="2">
        <v>3</v>
      </c>
      <c r="E104" s="2" t="b">
        <f>ISODD(B104)</f>
        <v>1</v>
      </c>
      <c r="F104" s="2" t="b">
        <f>ISEVEN(B104)</f>
        <v>0</v>
      </c>
      <c r="G104" s="2" t="b">
        <f>ISODD(C104)</f>
        <v>1</v>
      </c>
      <c r="H104" s="2" t="b">
        <f>ISEVEN(C104)</f>
        <v>0</v>
      </c>
      <c r="I104" s="2">
        <f>IF(E104, B104, "")</f>
        <v>103</v>
      </c>
      <c r="J104" s="2" t="str">
        <f>IF(F104, B104, "")</f>
        <v/>
      </c>
      <c r="K104" s="2">
        <f>IF(G104, C104, "")</f>
        <v>3</v>
      </c>
      <c r="L104" s="2" t="str">
        <f>IF(H104, C104, "")</f>
        <v/>
      </c>
      <c r="M104" s="2" t="b">
        <f>OR(AND(E104, G104), AND(F104, H104))</f>
        <v>1</v>
      </c>
      <c r="N104" s="2" t="b">
        <f>OR(AND(E104, H104), AND(F104, G104))</f>
        <v>0</v>
      </c>
      <c r="O104" s="2" t="b">
        <f>AND(E104, G104)</f>
        <v>1</v>
      </c>
      <c r="P104" s="2" t="b">
        <f>AND(F104, G104)</f>
        <v>0</v>
      </c>
      <c r="Q104" s="2" t="b">
        <f>AND(F104, H104)</f>
        <v>0</v>
      </c>
      <c r="R104" s="2" t="b">
        <f>AND(E104, H104)</f>
        <v>0</v>
      </c>
      <c r="T104" s="2">
        <f>SUM(B104, C104)</f>
        <v>106</v>
      </c>
      <c r="U104" s="2" t="b">
        <f t="shared" si="4"/>
        <v>0</v>
      </c>
      <c r="V104" s="2" t="b">
        <f t="shared" si="5"/>
        <v>1</v>
      </c>
      <c r="W104" s="2" t="str">
        <f t="shared" si="6"/>
        <v/>
      </c>
      <c r="X104" s="2">
        <f t="shared" si="7"/>
        <v>106</v>
      </c>
      <c r="Y104" s="2" t="b">
        <f>AND(ISODD(B104),ISODD(T104))</f>
        <v>0</v>
      </c>
      <c r="Z104" s="2" t="b">
        <f>AND(ISODD(B104),ISEVEN(T104))</f>
        <v>1</v>
      </c>
      <c r="AA104" s="2" t="b">
        <f>AND(ISEVEN(B104),ISODD(T104))</f>
        <v>0</v>
      </c>
      <c r="AB104" s="2" t="b">
        <f>AND(ISEVEN(B104),ISEVEN(T104))</f>
        <v>0</v>
      </c>
      <c r="AC104" s="2" t="str">
        <f>IF(AND(ISODD(B104),ISODD(T104)), B104, "")</f>
        <v/>
      </c>
      <c r="AD104" s="2">
        <f>IF(AND(ISODD(B104),ISEVEN(T104)), B104, "")</f>
        <v>103</v>
      </c>
      <c r="AE104" s="2" t="str">
        <f>IF(AND(ISEVEN(B104),ISODD(T104)), B104, "")</f>
        <v/>
      </c>
      <c r="AF104" s="2" t="str">
        <f>IF(AND(ISEVEN(B104),ISEVEN(T104)), B104, "")</f>
        <v/>
      </c>
      <c r="AG104" s="2" t="str">
        <f>IF(AND(ISODD(C104),ISODD(T104)), C104, "")</f>
        <v/>
      </c>
      <c r="AH104" s="2">
        <f>IF(AND(ISODD(C104),ISEVEN(T104)), C104, "")</f>
        <v>3</v>
      </c>
      <c r="AI104" s="2" t="str">
        <f>IF(AND(ISEVEN(C104),ISODD(T104)), C104, "")</f>
        <v/>
      </c>
      <c r="AJ104" s="2" t="str">
        <f>IF(AND(ISEVEN(C104),ISEVEN(T104)), C104, "")</f>
        <v/>
      </c>
      <c r="AK104" s="2" t="str">
        <f>IF(U104,B104, "")</f>
        <v/>
      </c>
      <c r="AL104" s="2">
        <f>IF(V104, B104, "")</f>
        <v>103</v>
      </c>
      <c r="AM104" s="2" t="str">
        <f>IF(U104, C104, "")</f>
        <v/>
      </c>
      <c r="AN104" s="2">
        <f>IF(V104, C104, "")</f>
        <v>3</v>
      </c>
    </row>
    <row r="105" spans="2:40" hidden="1" outlineLevel="1" x14ac:dyDescent="0.25">
      <c r="B105" s="2">
        <v>104</v>
      </c>
      <c r="C105" s="2">
        <v>9</v>
      </c>
      <c r="E105" s="2" t="b">
        <f>ISODD(B105)</f>
        <v>0</v>
      </c>
      <c r="F105" s="2" t="b">
        <f>ISEVEN(B105)</f>
        <v>1</v>
      </c>
      <c r="G105" s="2" t="b">
        <f>ISODD(C105)</f>
        <v>1</v>
      </c>
      <c r="H105" s="2" t="b">
        <f>ISEVEN(C105)</f>
        <v>0</v>
      </c>
      <c r="I105" s="2" t="str">
        <f>IF(E105, B105, "")</f>
        <v/>
      </c>
      <c r="J105" s="2">
        <f>IF(F105, B105, "")</f>
        <v>104</v>
      </c>
      <c r="K105" s="2">
        <f>IF(G105, C105, "")</f>
        <v>9</v>
      </c>
      <c r="L105" s="2" t="str">
        <f>IF(H105, C105, "")</f>
        <v/>
      </c>
      <c r="M105" s="2" t="b">
        <f>OR(AND(E105, G105), AND(F105, H105))</f>
        <v>0</v>
      </c>
      <c r="N105" s="2" t="b">
        <f>OR(AND(E105, H105), AND(F105, G105))</f>
        <v>1</v>
      </c>
      <c r="O105" s="2" t="b">
        <f>AND(E105, G105)</f>
        <v>0</v>
      </c>
      <c r="P105" s="2" t="b">
        <f>AND(F105, G105)</f>
        <v>1</v>
      </c>
      <c r="Q105" s="2" t="b">
        <f>AND(F105, H105)</f>
        <v>0</v>
      </c>
      <c r="R105" s="2" t="b">
        <f>AND(E105, H105)</f>
        <v>0</v>
      </c>
      <c r="T105" s="2">
        <f>SUM(B105, C105)</f>
        <v>113</v>
      </c>
      <c r="U105" s="2" t="b">
        <f t="shared" si="4"/>
        <v>1</v>
      </c>
      <c r="V105" s="2" t="b">
        <f t="shared" si="5"/>
        <v>0</v>
      </c>
      <c r="W105" s="2">
        <f t="shared" si="6"/>
        <v>113</v>
      </c>
      <c r="X105" s="2" t="str">
        <f t="shared" si="7"/>
        <v/>
      </c>
      <c r="Y105" s="2" t="b">
        <f>AND(ISODD(B105),ISODD(T105))</f>
        <v>0</v>
      </c>
      <c r="Z105" s="2" t="b">
        <f>AND(ISODD(B105),ISEVEN(T105))</f>
        <v>0</v>
      </c>
      <c r="AA105" s="2" t="b">
        <f>AND(ISEVEN(B105),ISODD(T105))</f>
        <v>1</v>
      </c>
      <c r="AB105" s="2" t="b">
        <f>AND(ISEVEN(B105),ISEVEN(T105))</f>
        <v>0</v>
      </c>
      <c r="AC105" s="2" t="str">
        <f>IF(AND(ISODD(B105),ISODD(T105)), B105, "")</f>
        <v/>
      </c>
      <c r="AD105" s="2" t="str">
        <f>IF(AND(ISODD(B105),ISEVEN(T105)), B105, "")</f>
        <v/>
      </c>
      <c r="AE105" s="2">
        <f>IF(AND(ISEVEN(B105),ISODD(T105)), B105, "")</f>
        <v>104</v>
      </c>
      <c r="AF105" s="2" t="str">
        <f>IF(AND(ISEVEN(B105),ISEVEN(T105)), B105, "")</f>
        <v/>
      </c>
      <c r="AG105" s="2">
        <f>IF(AND(ISODD(C105),ISODD(T105)), C105, "")</f>
        <v>9</v>
      </c>
      <c r="AH105" s="2" t="str">
        <f>IF(AND(ISODD(C105),ISEVEN(T105)), C105, "")</f>
        <v/>
      </c>
      <c r="AI105" s="2" t="str">
        <f>IF(AND(ISEVEN(C105),ISODD(T105)), C105, "")</f>
        <v/>
      </c>
      <c r="AJ105" s="2" t="str">
        <f>IF(AND(ISEVEN(C105),ISEVEN(T105)), C105, "")</f>
        <v/>
      </c>
      <c r="AK105" s="2">
        <f>IF(U105,B105, "")</f>
        <v>104</v>
      </c>
      <c r="AL105" s="2" t="str">
        <f>IF(V105, B105, "")</f>
        <v/>
      </c>
      <c r="AM105" s="2">
        <f>IF(U105, C105, "")</f>
        <v>9</v>
      </c>
      <c r="AN105" s="2" t="str">
        <f>IF(V105, C105, "")</f>
        <v/>
      </c>
    </row>
    <row r="106" spans="2:40" hidden="1" outlineLevel="1" x14ac:dyDescent="0.25">
      <c r="B106" s="2">
        <v>105</v>
      </c>
      <c r="C106" s="2">
        <v>5</v>
      </c>
      <c r="E106" s="2" t="b">
        <f>ISODD(B106)</f>
        <v>1</v>
      </c>
      <c r="F106" s="2" t="b">
        <f>ISEVEN(B106)</f>
        <v>0</v>
      </c>
      <c r="G106" s="2" t="b">
        <f>ISODD(C106)</f>
        <v>1</v>
      </c>
      <c r="H106" s="2" t="b">
        <f>ISEVEN(C106)</f>
        <v>0</v>
      </c>
      <c r="I106" s="2">
        <f>IF(E106, B106, "")</f>
        <v>105</v>
      </c>
      <c r="J106" s="2" t="str">
        <f>IF(F106, B106, "")</f>
        <v/>
      </c>
      <c r="K106" s="2">
        <f>IF(G106, C106, "")</f>
        <v>5</v>
      </c>
      <c r="L106" s="2" t="str">
        <f>IF(H106, C106, "")</f>
        <v/>
      </c>
      <c r="M106" s="2" t="b">
        <f>OR(AND(E106, G106), AND(F106, H106))</f>
        <v>1</v>
      </c>
      <c r="N106" s="2" t="b">
        <f>OR(AND(E106, H106), AND(F106, G106))</f>
        <v>0</v>
      </c>
      <c r="O106" s="2" t="b">
        <f>AND(E106, G106)</f>
        <v>1</v>
      </c>
      <c r="P106" s="2" t="b">
        <f>AND(F106, G106)</f>
        <v>0</v>
      </c>
      <c r="Q106" s="2" t="b">
        <f>AND(F106, H106)</f>
        <v>0</v>
      </c>
      <c r="R106" s="2" t="b">
        <f>AND(E106, H106)</f>
        <v>0</v>
      </c>
      <c r="T106" s="2">
        <f>SUM(B106, C106)</f>
        <v>110</v>
      </c>
      <c r="U106" s="2" t="b">
        <f t="shared" si="4"/>
        <v>0</v>
      </c>
      <c r="V106" s="2" t="b">
        <f t="shared" si="5"/>
        <v>1</v>
      </c>
      <c r="W106" s="2" t="str">
        <f t="shared" si="6"/>
        <v/>
      </c>
      <c r="X106" s="2">
        <f t="shared" si="7"/>
        <v>110</v>
      </c>
      <c r="Y106" s="2" t="b">
        <f>AND(ISODD(B106),ISODD(T106))</f>
        <v>0</v>
      </c>
      <c r="Z106" s="2" t="b">
        <f>AND(ISODD(B106),ISEVEN(T106))</f>
        <v>1</v>
      </c>
      <c r="AA106" s="2" t="b">
        <f>AND(ISEVEN(B106),ISODD(T106))</f>
        <v>0</v>
      </c>
      <c r="AB106" s="2" t="b">
        <f>AND(ISEVEN(B106),ISEVEN(T106))</f>
        <v>0</v>
      </c>
      <c r="AC106" s="2" t="str">
        <f>IF(AND(ISODD(B106),ISODD(T106)), B106, "")</f>
        <v/>
      </c>
      <c r="AD106" s="2">
        <f>IF(AND(ISODD(B106),ISEVEN(T106)), B106, "")</f>
        <v>105</v>
      </c>
      <c r="AE106" s="2" t="str">
        <f>IF(AND(ISEVEN(B106),ISODD(T106)), B106, "")</f>
        <v/>
      </c>
      <c r="AF106" s="2" t="str">
        <f>IF(AND(ISEVEN(B106),ISEVEN(T106)), B106, "")</f>
        <v/>
      </c>
      <c r="AG106" s="2" t="str">
        <f>IF(AND(ISODD(C106),ISODD(T106)), C106, "")</f>
        <v/>
      </c>
      <c r="AH106" s="2">
        <f>IF(AND(ISODD(C106),ISEVEN(T106)), C106, "")</f>
        <v>5</v>
      </c>
      <c r="AI106" s="2" t="str">
        <f>IF(AND(ISEVEN(C106),ISODD(T106)), C106, "")</f>
        <v/>
      </c>
      <c r="AJ106" s="2" t="str">
        <f>IF(AND(ISEVEN(C106),ISEVEN(T106)), C106, "")</f>
        <v/>
      </c>
      <c r="AK106" s="2" t="str">
        <f>IF(U106,B106, "")</f>
        <v/>
      </c>
      <c r="AL106" s="2">
        <f>IF(V106, B106, "")</f>
        <v>105</v>
      </c>
      <c r="AM106" s="2" t="str">
        <f>IF(U106, C106, "")</f>
        <v/>
      </c>
      <c r="AN106" s="2">
        <f>IF(V106, C106, "")</f>
        <v>5</v>
      </c>
    </row>
    <row r="107" spans="2:40" hidden="1" outlineLevel="1" x14ac:dyDescent="0.25">
      <c r="B107" s="2">
        <v>106</v>
      </c>
      <c r="C107" s="2">
        <v>4</v>
      </c>
      <c r="E107" s="2" t="b">
        <f>ISODD(B107)</f>
        <v>0</v>
      </c>
      <c r="F107" s="2" t="b">
        <f>ISEVEN(B107)</f>
        <v>1</v>
      </c>
      <c r="G107" s="2" t="b">
        <f>ISODD(C107)</f>
        <v>0</v>
      </c>
      <c r="H107" s="2" t="b">
        <f>ISEVEN(C107)</f>
        <v>1</v>
      </c>
      <c r="I107" s="2" t="str">
        <f>IF(E107, B107, "")</f>
        <v/>
      </c>
      <c r="J107" s="2">
        <f>IF(F107, B107, "")</f>
        <v>106</v>
      </c>
      <c r="K107" s="2" t="str">
        <f>IF(G107, C107, "")</f>
        <v/>
      </c>
      <c r="L107" s="2">
        <f>IF(H107, C107, "")</f>
        <v>4</v>
      </c>
      <c r="M107" s="2" t="b">
        <f>OR(AND(E107, G107), AND(F107, H107))</f>
        <v>1</v>
      </c>
      <c r="N107" s="2" t="b">
        <f>OR(AND(E107, H107), AND(F107, G107))</f>
        <v>0</v>
      </c>
      <c r="O107" s="2" t="b">
        <f>AND(E107, G107)</f>
        <v>0</v>
      </c>
      <c r="P107" s="2" t="b">
        <f>AND(F107, G107)</f>
        <v>0</v>
      </c>
      <c r="Q107" s="2" t="b">
        <f>AND(F107, H107)</f>
        <v>1</v>
      </c>
      <c r="R107" s="2" t="b">
        <f>AND(E107, H107)</f>
        <v>0</v>
      </c>
      <c r="T107" s="2">
        <f>SUM(B107, C107)</f>
        <v>110</v>
      </c>
      <c r="U107" s="2" t="b">
        <f t="shared" si="4"/>
        <v>0</v>
      </c>
      <c r="V107" s="2" t="b">
        <f t="shared" si="5"/>
        <v>1</v>
      </c>
      <c r="W107" s="2" t="str">
        <f t="shared" si="6"/>
        <v/>
      </c>
      <c r="X107" s="2">
        <f t="shared" si="7"/>
        <v>110</v>
      </c>
      <c r="Y107" s="2" t="b">
        <f>AND(ISODD(B107),ISODD(T107))</f>
        <v>0</v>
      </c>
      <c r="Z107" s="2" t="b">
        <f>AND(ISODD(B107),ISEVEN(T107))</f>
        <v>0</v>
      </c>
      <c r="AA107" s="2" t="b">
        <f>AND(ISEVEN(B107),ISODD(T107))</f>
        <v>0</v>
      </c>
      <c r="AB107" s="2" t="b">
        <f>AND(ISEVEN(B107),ISEVEN(T107))</f>
        <v>1</v>
      </c>
      <c r="AC107" s="2" t="str">
        <f>IF(AND(ISODD(B107),ISODD(T107)), B107, "")</f>
        <v/>
      </c>
      <c r="AD107" s="2" t="str">
        <f>IF(AND(ISODD(B107),ISEVEN(T107)), B107, "")</f>
        <v/>
      </c>
      <c r="AE107" s="2" t="str">
        <f>IF(AND(ISEVEN(B107),ISODD(T107)), B107, "")</f>
        <v/>
      </c>
      <c r="AF107" s="2">
        <f>IF(AND(ISEVEN(B107),ISEVEN(T107)), B107, "")</f>
        <v>106</v>
      </c>
      <c r="AG107" s="2" t="str">
        <f>IF(AND(ISODD(C107),ISODD(T107)), C107, "")</f>
        <v/>
      </c>
      <c r="AH107" s="2" t="str">
        <f>IF(AND(ISODD(C107),ISEVEN(T107)), C107, "")</f>
        <v/>
      </c>
      <c r="AI107" s="2" t="str">
        <f>IF(AND(ISEVEN(C107),ISODD(T107)), C107, "")</f>
        <v/>
      </c>
      <c r="AJ107" s="2">
        <f>IF(AND(ISEVEN(C107),ISEVEN(T107)), C107, "")</f>
        <v>4</v>
      </c>
      <c r="AK107" s="2" t="str">
        <f>IF(U107,B107, "")</f>
        <v/>
      </c>
      <c r="AL107" s="2">
        <f>IF(V107, B107, "")</f>
        <v>106</v>
      </c>
      <c r="AM107" s="2" t="str">
        <f>IF(U107, C107, "")</f>
        <v/>
      </c>
      <c r="AN107" s="2">
        <f>IF(V107, C107, "")</f>
        <v>4</v>
      </c>
    </row>
    <row r="108" spans="2:40" hidden="1" outlineLevel="1" x14ac:dyDescent="0.25">
      <c r="B108" s="2">
        <v>107</v>
      </c>
      <c r="C108" s="2">
        <v>7</v>
      </c>
      <c r="E108" s="2" t="b">
        <f>ISODD(B108)</f>
        <v>1</v>
      </c>
      <c r="F108" s="2" t="b">
        <f>ISEVEN(B108)</f>
        <v>0</v>
      </c>
      <c r="G108" s="2" t="b">
        <f>ISODD(C108)</f>
        <v>1</v>
      </c>
      <c r="H108" s="2" t="b">
        <f>ISEVEN(C108)</f>
        <v>0</v>
      </c>
      <c r="I108" s="2">
        <f>IF(E108, B108, "")</f>
        <v>107</v>
      </c>
      <c r="J108" s="2" t="str">
        <f>IF(F108, B108, "")</f>
        <v/>
      </c>
      <c r="K108" s="2">
        <f>IF(G108, C108, "")</f>
        <v>7</v>
      </c>
      <c r="L108" s="2" t="str">
        <f>IF(H108, C108, "")</f>
        <v/>
      </c>
      <c r="M108" s="2" t="b">
        <f>OR(AND(E108, G108), AND(F108, H108))</f>
        <v>1</v>
      </c>
      <c r="N108" s="2" t="b">
        <f>OR(AND(E108, H108), AND(F108, G108))</f>
        <v>0</v>
      </c>
      <c r="O108" s="2" t="b">
        <f>AND(E108, G108)</f>
        <v>1</v>
      </c>
      <c r="P108" s="2" t="b">
        <f>AND(F108, G108)</f>
        <v>0</v>
      </c>
      <c r="Q108" s="2" t="b">
        <f>AND(F108, H108)</f>
        <v>0</v>
      </c>
      <c r="R108" s="2" t="b">
        <f>AND(E108, H108)</f>
        <v>0</v>
      </c>
      <c r="T108" s="2">
        <f>SUM(B108, C108)</f>
        <v>114</v>
      </c>
      <c r="U108" s="2" t="b">
        <f t="shared" si="4"/>
        <v>0</v>
      </c>
      <c r="V108" s="2" t="b">
        <f t="shared" si="5"/>
        <v>1</v>
      </c>
      <c r="W108" s="2" t="str">
        <f t="shared" si="6"/>
        <v/>
      </c>
      <c r="X108" s="2">
        <f t="shared" si="7"/>
        <v>114</v>
      </c>
      <c r="Y108" s="2" t="b">
        <f>AND(ISODD(B108),ISODD(T108))</f>
        <v>0</v>
      </c>
      <c r="Z108" s="2" t="b">
        <f>AND(ISODD(B108),ISEVEN(T108))</f>
        <v>1</v>
      </c>
      <c r="AA108" s="2" t="b">
        <f>AND(ISEVEN(B108),ISODD(T108))</f>
        <v>0</v>
      </c>
      <c r="AB108" s="2" t="b">
        <f>AND(ISEVEN(B108),ISEVEN(T108))</f>
        <v>0</v>
      </c>
      <c r="AC108" s="2" t="str">
        <f>IF(AND(ISODD(B108),ISODD(T108)), B108, "")</f>
        <v/>
      </c>
      <c r="AD108" s="2">
        <f>IF(AND(ISODD(B108),ISEVEN(T108)), B108, "")</f>
        <v>107</v>
      </c>
      <c r="AE108" s="2" t="str">
        <f>IF(AND(ISEVEN(B108),ISODD(T108)), B108, "")</f>
        <v/>
      </c>
      <c r="AF108" s="2" t="str">
        <f>IF(AND(ISEVEN(B108),ISEVEN(T108)), B108, "")</f>
        <v/>
      </c>
      <c r="AG108" s="2" t="str">
        <f>IF(AND(ISODD(C108),ISODD(T108)), C108, "")</f>
        <v/>
      </c>
      <c r="AH108" s="2">
        <f>IF(AND(ISODD(C108),ISEVEN(T108)), C108, "")</f>
        <v>7</v>
      </c>
      <c r="AI108" s="2" t="str">
        <f>IF(AND(ISEVEN(C108),ISODD(T108)), C108, "")</f>
        <v/>
      </c>
      <c r="AJ108" s="2" t="str">
        <f>IF(AND(ISEVEN(C108),ISEVEN(T108)), C108, "")</f>
        <v/>
      </c>
      <c r="AK108" s="2" t="str">
        <f>IF(U108,B108, "")</f>
        <v/>
      </c>
      <c r="AL108" s="2">
        <f>IF(V108, B108, "")</f>
        <v>107</v>
      </c>
      <c r="AM108" s="2" t="str">
        <f>IF(U108, C108, "")</f>
        <v/>
      </c>
      <c r="AN108" s="2">
        <f>IF(V108, C108, "")</f>
        <v>7</v>
      </c>
    </row>
    <row r="109" spans="2:40" hidden="1" outlineLevel="1" x14ac:dyDescent="0.25">
      <c r="B109" s="2">
        <v>108</v>
      </c>
      <c r="C109" s="2">
        <v>3</v>
      </c>
      <c r="E109" s="2" t="b">
        <f>ISODD(B109)</f>
        <v>0</v>
      </c>
      <c r="F109" s="2" t="b">
        <f>ISEVEN(B109)</f>
        <v>1</v>
      </c>
      <c r="G109" s="2" t="b">
        <f>ISODD(C109)</f>
        <v>1</v>
      </c>
      <c r="H109" s="2" t="b">
        <f>ISEVEN(C109)</f>
        <v>0</v>
      </c>
      <c r="I109" s="2" t="str">
        <f>IF(E109, B109, "")</f>
        <v/>
      </c>
      <c r="J109" s="2">
        <f>IF(F109, B109, "")</f>
        <v>108</v>
      </c>
      <c r="K109" s="2">
        <f>IF(G109, C109, "")</f>
        <v>3</v>
      </c>
      <c r="L109" s="2" t="str">
        <f>IF(H109, C109, "")</f>
        <v/>
      </c>
      <c r="M109" s="2" t="b">
        <f>OR(AND(E109, G109), AND(F109, H109))</f>
        <v>0</v>
      </c>
      <c r="N109" s="2" t="b">
        <f>OR(AND(E109, H109), AND(F109, G109))</f>
        <v>1</v>
      </c>
      <c r="O109" s="2" t="b">
        <f>AND(E109, G109)</f>
        <v>0</v>
      </c>
      <c r="P109" s="2" t="b">
        <f>AND(F109, G109)</f>
        <v>1</v>
      </c>
      <c r="Q109" s="2" t="b">
        <f>AND(F109, H109)</f>
        <v>0</v>
      </c>
      <c r="R109" s="2" t="b">
        <f>AND(E109, H109)</f>
        <v>0</v>
      </c>
      <c r="T109" s="2">
        <f>SUM(B109, C109)</f>
        <v>111</v>
      </c>
      <c r="U109" s="2" t="b">
        <f t="shared" si="4"/>
        <v>1</v>
      </c>
      <c r="V109" s="2" t="b">
        <f t="shared" si="5"/>
        <v>0</v>
      </c>
      <c r="W109" s="2">
        <f t="shared" si="6"/>
        <v>111</v>
      </c>
      <c r="X109" s="2" t="str">
        <f t="shared" si="7"/>
        <v/>
      </c>
      <c r="Y109" s="2" t="b">
        <f>AND(ISODD(B109),ISODD(T109))</f>
        <v>0</v>
      </c>
      <c r="Z109" s="2" t="b">
        <f>AND(ISODD(B109),ISEVEN(T109))</f>
        <v>0</v>
      </c>
      <c r="AA109" s="2" t="b">
        <f>AND(ISEVEN(B109),ISODD(T109))</f>
        <v>1</v>
      </c>
      <c r="AB109" s="2" t="b">
        <f>AND(ISEVEN(B109),ISEVEN(T109))</f>
        <v>0</v>
      </c>
      <c r="AC109" s="2" t="str">
        <f>IF(AND(ISODD(B109),ISODD(T109)), B109, "")</f>
        <v/>
      </c>
      <c r="AD109" s="2" t="str">
        <f>IF(AND(ISODD(B109),ISEVEN(T109)), B109, "")</f>
        <v/>
      </c>
      <c r="AE109" s="2">
        <f>IF(AND(ISEVEN(B109),ISODD(T109)), B109, "")</f>
        <v>108</v>
      </c>
      <c r="AF109" s="2" t="str">
        <f>IF(AND(ISEVEN(B109),ISEVEN(T109)), B109, "")</f>
        <v/>
      </c>
      <c r="AG109" s="2">
        <f>IF(AND(ISODD(C109),ISODD(T109)), C109, "")</f>
        <v>3</v>
      </c>
      <c r="AH109" s="2" t="str">
        <f>IF(AND(ISODD(C109),ISEVEN(T109)), C109, "")</f>
        <v/>
      </c>
      <c r="AI109" s="2" t="str">
        <f>IF(AND(ISEVEN(C109),ISODD(T109)), C109, "")</f>
        <v/>
      </c>
      <c r="AJ109" s="2" t="str">
        <f>IF(AND(ISEVEN(C109),ISEVEN(T109)), C109, "")</f>
        <v/>
      </c>
      <c r="AK109" s="2">
        <f>IF(U109,B109, "")</f>
        <v>108</v>
      </c>
      <c r="AL109" s="2" t="str">
        <f>IF(V109, B109, "")</f>
        <v/>
      </c>
      <c r="AM109" s="2">
        <f>IF(U109, C109, "")</f>
        <v>3</v>
      </c>
      <c r="AN109" s="2" t="str">
        <f>IF(V109, C109, "")</f>
        <v/>
      </c>
    </row>
    <row r="110" spans="2:40" hidden="1" outlineLevel="1" x14ac:dyDescent="0.25">
      <c r="B110" s="2">
        <v>109</v>
      </c>
      <c r="C110" s="2">
        <v>6</v>
      </c>
      <c r="E110" s="2" t="b">
        <f>ISODD(B110)</f>
        <v>1</v>
      </c>
      <c r="F110" s="2" t="b">
        <f>ISEVEN(B110)</f>
        <v>0</v>
      </c>
      <c r="G110" s="2" t="b">
        <f>ISODD(C110)</f>
        <v>0</v>
      </c>
      <c r="H110" s="2" t="b">
        <f>ISEVEN(C110)</f>
        <v>1</v>
      </c>
      <c r="I110" s="2">
        <f>IF(E110, B110, "")</f>
        <v>109</v>
      </c>
      <c r="J110" s="2" t="str">
        <f>IF(F110, B110, "")</f>
        <v/>
      </c>
      <c r="K110" s="2" t="str">
        <f>IF(G110, C110, "")</f>
        <v/>
      </c>
      <c r="L110" s="2">
        <f>IF(H110, C110, "")</f>
        <v>6</v>
      </c>
      <c r="M110" s="2" t="b">
        <f>OR(AND(E110, G110), AND(F110, H110))</f>
        <v>0</v>
      </c>
      <c r="N110" s="2" t="b">
        <f>OR(AND(E110, H110), AND(F110, G110))</f>
        <v>1</v>
      </c>
      <c r="O110" s="2" t="b">
        <f>AND(E110, G110)</f>
        <v>0</v>
      </c>
      <c r="P110" s="2" t="b">
        <f>AND(F110, G110)</f>
        <v>0</v>
      </c>
      <c r="Q110" s="2" t="b">
        <f>AND(F110, H110)</f>
        <v>0</v>
      </c>
      <c r="R110" s="2" t="b">
        <f>AND(E110, H110)</f>
        <v>1</v>
      </c>
      <c r="T110" s="2">
        <f>SUM(B110, C110)</f>
        <v>115</v>
      </c>
      <c r="U110" s="2" t="b">
        <f t="shared" si="4"/>
        <v>1</v>
      </c>
      <c r="V110" s="2" t="b">
        <f t="shared" si="5"/>
        <v>0</v>
      </c>
      <c r="W110" s="2">
        <f t="shared" si="6"/>
        <v>115</v>
      </c>
      <c r="X110" s="2" t="str">
        <f t="shared" si="7"/>
        <v/>
      </c>
      <c r="Y110" s="2" t="b">
        <f>AND(ISODD(B110),ISODD(T110))</f>
        <v>1</v>
      </c>
      <c r="Z110" s="2" t="b">
        <f>AND(ISODD(B110),ISEVEN(T110))</f>
        <v>0</v>
      </c>
      <c r="AA110" s="2" t="b">
        <f>AND(ISEVEN(B110),ISODD(T110))</f>
        <v>0</v>
      </c>
      <c r="AB110" s="2" t="b">
        <f>AND(ISEVEN(B110),ISEVEN(T110))</f>
        <v>0</v>
      </c>
      <c r="AC110" s="2">
        <f>IF(AND(ISODD(B110),ISODD(T110)), B110, "")</f>
        <v>109</v>
      </c>
      <c r="AD110" s="2" t="str">
        <f>IF(AND(ISODD(B110),ISEVEN(T110)), B110, "")</f>
        <v/>
      </c>
      <c r="AE110" s="2" t="str">
        <f>IF(AND(ISEVEN(B110),ISODD(T110)), B110, "")</f>
        <v/>
      </c>
      <c r="AF110" s="2" t="str">
        <f>IF(AND(ISEVEN(B110),ISEVEN(T110)), B110, "")</f>
        <v/>
      </c>
      <c r="AG110" s="2" t="str">
        <f>IF(AND(ISODD(C110),ISODD(T110)), C110, "")</f>
        <v/>
      </c>
      <c r="AH110" s="2" t="str">
        <f>IF(AND(ISODD(C110),ISEVEN(T110)), C110, "")</f>
        <v/>
      </c>
      <c r="AI110" s="2">
        <f>IF(AND(ISEVEN(C110),ISODD(T110)), C110, "")</f>
        <v>6</v>
      </c>
      <c r="AJ110" s="2" t="str">
        <f>IF(AND(ISEVEN(C110),ISEVEN(T110)), C110, "")</f>
        <v/>
      </c>
      <c r="AK110" s="2">
        <f>IF(U110,B110, "")</f>
        <v>109</v>
      </c>
      <c r="AL110" s="2" t="str">
        <f>IF(V110, B110, "")</f>
        <v/>
      </c>
      <c r="AM110" s="2">
        <f>IF(U110, C110, "")</f>
        <v>6</v>
      </c>
      <c r="AN110" s="2" t="str">
        <f>IF(V110, C110, "")</f>
        <v/>
      </c>
    </row>
    <row r="111" spans="2:40" hidden="1" outlineLevel="1" x14ac:dyDescent="0.25">
      <c r="B111" s="2">
        <v>110</v>
      </c>
      <c r="C111" s="2">
        <v>3</v>
      </c>
      <c r="E111" s="2" t="b">
        <f>ISODD(B111)</f>
        <v>0</v>
      </c>
      <c r="F111" s="2" t="b">
        <f>ISEVEN(B111)</f>
        <v>1</v>
      </c>
      <c r="G111" s="2" t="b">
        <f>ISODD(C111)</f>
        <v>1</v>
      </c>
      <c r="H111" s="2" t="b">
        <f>ISEVEN(C111)</f>
        <v>0</v>
      </c>
      <c r="I111" s="2" t="str">
        <f>IF(E111, B111, "")</f>
        <v/>
      </c>
      <c r="J111" s="2">
        <f>IF(F111, B111, "")</f>
        <v>110</v>
      </c>
      <c r="K111" s="2">
        <f>IF(G111, C111, "")</f>
        <v>3</v>
      </c>
      <c r="L111" s="2" t="str">
        <f>IF(H111, C111, "")</f>
        <v/>
      </c>
      <c r="M111" s="2" t="b">
        <f>OR(AND(E111, G111), AND(F111, H111))</f>
        <v>0</v>
      </c>
      <c r="N111" s="2" t="b">
        <f>OR(AND(E111, H111), AND(F111, G111))</f>
        <v>1</v>
      </c>
      <c r="O111" s="2" t="b">
        <f>AND(E111, G111)</f>
        <v>0</v>
      </c>
      <c r="P111" s="2" t="b">
        <f>AND(F111, G111)</f>
        <v>1</v>
      </c>
      <c r="Q111" s="2" t="b">
        <f>AND(F111, H111)</f>
        <v>0</v>
      </c>
      <c r="R111" s="2" t="b">
        <f>AND(E111, H111)</f>
        <v>0</v>
      </c>
      <c r="T111" s="2">
        <f>SUM(B111, C111)</f>
        <v>113</v>
      </c>
      <c r="U111" s="2" t="b">
        <f t="shared" si="4"/>
        <v>1</v>
      </c>
      <c r="V111" s="2" t="b">
        <f t="shared" si="5"/>
        <v>0</v>
      </c>
      <c r="W111" s="2">
        <f t="shared" si="6"/>
        <v>113</v>
      </c>
      <c r="X111" s="2" t="str">
        <f t="shared" si="7"/>
        <v/>
      </c>
      <c r="Y111" s="2" t="b">
        <f>AND(ISODD(B111),ISODD(T111))</f>
        <v>0</v>
      </c>
      <c r="Z111" s="2" t="b">
        <f>AND(ISODD(B111),ISEVEN(T111))</f>
        <v>0</v>
      </c>
      <c r="AA111" s="2" t="b">
        <f>AND(ISEVEN(B111),ISODD(T111))</f>
        <v>1</v>
      </c>
      <c r="AB111" s="2" t="b">
        <f>AND(ISEVEN(B111),ISEVEN(T111))</f>
        <v>0</v>
      </c>
      <c r="AC111" s="2" t="str">
        <f>IF(AND(ISODD(B111),ISODD(T111)), B111, "")</f>
        <v/>
      </c>
      <c r="AD111" s="2" t="str">
        <f>IF(AND(ISODD(B111),ISEVEN(T111)), B111, "")</f>
        <v/>
      </c>
      <c r="AE111" s="2">
        <f>IF(AND(ISEVEN(B111),ISODD(T111)), B111, "")</f>
        <v>110</v>
      </c>
      <c r="AF111" s="2" t="str">
        <f>IF(AND(ISEVEN(B111),ISEVEN(T111)), B111, "")</f>
        <v/>
      </c>
      <c r="AG111" s="2">
        <f>IF(AND(ISODD(C111),ISODD(T111)), C111, "")</f>
        <v>3</v>
      </c>
      <c r="AH111" s="2" t="str">
        <f>IF(AND(ISODD(C111),ISEVEN(T111)), C111, "")</f>
        <v/>
      </c>
      <c r="AI111" s="2" t="str">
        <f>IF(AND(ISEVEN(C111),ISODD(T111)), C111, "")</f>
        <v/>
      </c>
      <c r="AJ111" s="2" t="str">
        <f>IF(AND(ISEVEN(C111),ISEVEN(T111)), C111, "")</f>
        <v/>
      </c>
      <c r="AK111" s="2">
        <f>IF(U111,B111, "")</f>
        <v>110</v>
      </c>
      <c r="AL111" s="2" t="str">
        <f>IF(V111, B111, "")</f>
        <v/>
      </c>
      <c r="AM111" s="2">
        <f>IF(U111, C111, "")</f>
        <v>3</v>
      </c>
      <c r="AN111" s="2" t="str">
        <f>IF(V111, C111, "")</f>
        <v/>
      </c>
    </row>
    <row r="112" spans="2:40" hidden="1" outlineLevel="1" x14ac:dyDescent="0.25">
      <c r="B112" s="2">
        <v>111</v>
      </c>
      <c r="C112" s="2">
        <v>5</v>
      </c>
      <c r="E112" s="2" t="b">
        <f>ISODD(B112)</f>
        <v>1</v>
      </c>
      <c r="F112" s="2" t="b">
        <f>ISEVEN(B112)</f>
        <v>0</v>
      </c>
      <c r="G112" s="2" t="b">
        <f>ISODD(C112)</f>
        <v>1</v>
      </c>
      <c r="H112" s="2" t="b">
        <f>ISEVEN(C112)</f>
        <v>0</v>
      </c>
      <c r="I112" s="2">
        <f>IF(E112, B112, "")</f>
        <v>111</v>
      </c>
      <c r="J112" s="2" t="str">
        <f>IF(F112, B112, "")</f>
        <v/>
      </c>
      <c r="K112" s="2">
        <f>IF(G112, C112, "")</f>
        <v>5</v>
      </c>
      <c r="L112" s="2" t="str">
        <f>IF(H112, C112, "")</f>
        <v/>
      </c>
      <c r="M112" s="2" t="b">
        <f>OR(AND(E112, G112), AND(F112, H112))</f>
        <v>1</v>
      </c>
      <c r="N112" s="2" t="b">
        <f>OR(AND(E112, H112), AND(F112, G112))</f>
        <v>0</v>
      </c>
      <c r="O112" s="2" t="b">
        <f>AND(E112, G112)</f>
        <v>1</v>
      </c>
      <c r="P112" s="2" t="b">
        <f>AND(F112, G112)</f>
        <v>0</v>
      </c>
      <c r="Q112" s="2" t="b">
        <f>AND(F112, H112)</f>
        <v>0</v>
      </c>
      <c r="R112" s="2" t="b">
        <f>AND(E112, H112)</f>
        <v>0</v>
      </c>
      <c r="T112" s="2">
        <f>SUM(B112, C112)</f>
        <v>116</v>
      </c>
      <c r="U112" s="2" t="b">
        <f t="shared" si="4"/>
        <v>0</v>
      </c>
      <c r="V112" s="2" t="b">
        <f t="shared" si="5"/>
        <v>1</v>
      </c>
      <c r="W112" s="2" t="str">
        <f t="shared" si="6"/>
        <v/>
      </c>
      <c r="X112" s="2">
        <f t="shared" si="7"/>
        <v>116</v>
      </c>
      <c r="Y112" s="2" t="b">
        <f>AND(ISODD(B112),ISODD(T112))</f>
        <v>0</v>
      </c>
      <c r="Z112" s="2" t="b">
        <f>AND(ISODD(B112),ISEVEN(T112))</f>
        <v>1</v>
      </c>
      <c r="AA112" s="2" t="b">
        <f>AND(ISEVEN(B112),ISODD(T112))</f>
        <v>0</v>
      </c>
      <c r="AB112" s="2" t="b">
        <f>AND(ISEVEN(B112),ISEVEN(T112))</f>
        <v>0</v>
      </c>
      <c r="AC112" s="2" t="str">
        <f>IF(AND(ISODD(B112),ISODD(T112)), B112, "")</f>
        <v/>
      </c>
      <c r="AD112" s="2">
        <f>IF(AND(ISODD(B112),ISEVEN(T112)), B112, "")</f>
        <v>111</v>
      </c>
      <c r="AE112" s="2" t="str">
        <f>IF(AND(ISEVEN(B112),ISODD(T112)), B112, "")</f>
        <v/>
      </c>
      <c r="AF112" s="2" t="str">
        <f>IF(AND(ISEVEN(B112),ISEVEN(T112)), B112, "")</f>
        <v/>
      </c>
      <c r="AG112" s="2" t="str">
        <f>IF(AND(ISODD(C112),ISODD(T112)), C112, "")</f>
        <v/>
      </c>
      <c r="AH112" s="2">
        <f>IF(AND(ISODD(C112),ISEVEN(T112)), C112, "")</f>
        <v>5</v>
      </c>
      <c r="AI112" s="2" t="str">
        <f>IF(AND(ISEVEN(C112),ISODD(T112)), C112, "")</f>
        <v/>
      </c>
      <c r="AJ112" s="2" t="str">
        <f>IF(AND(ISEVEN(C112),ISEVEN(T112)), C112, "")</f>
        <v/>
      </c>
      <c r="AK112" s="2" t="str">
        <f>IF(U112,B112, "")</f>
        <v/>
      </c>
      <c r="AL112" s="2">
        <f>IF(V112, B112, "")</f>
        <v>111</v>
      </c>
      <c r="AM112" s="2" t="str">
        <f>IF(U112, C112, "")</f>
        <v/>
      </c>
      <c r="AN112" s="2">
        <f>IF(V112, C112, "")</f>
        <v>5</v>
      </c>
    </row>
    <row r="113" spans="1:40" collapsed="1" x14ac:dyDescent="0.25">
      <c r="B113" s="2">
        <v>112</v>
      </c>
      <c r="C113" s="2">
        <v>4</v>
      </c>
      <c r="E113" s="2" t="b">
        <f>ISODD(B113)</f>
        <v>0</v>
      </c>
      <c r="F113" s="2" t="b">
        <f>ISEVEN(B113)</f>
        <v>1</v>
      </c>
      <c r="G113" s="2" t="b">
        <f>ISODD(C113)</f>
        <v>0</v>
      </c>
      <c r="H113" s="2" t="b">
        <f>ISEVEN(C113)</f>
        <v>1</v>
      </c>
      <c r="I113" s="2" t="str">
        <f>IF(E113, B113, "")</f>
        <v/>
      </c>
      <c r="J113" s="2">
        <f>IF(F113, B113, "")</f>
        <v>112</v>
      </c>
      <c r="K113" s="2" t="str">
        <f>IF(G113, C113, "")</f>
        <v/>
      </c>
      <c r="L113" s="2">
        <f>IF(H113, C113, "")</f>
        <v>4</v>
      </c>
      <c r="M113" s="2" t="b">
        <f>OR(AND(E113, G113), AND(F113, H113))</f>
        <v>1</v>
      </c>
      <c r="N113" s="2" t="b">
        <f>OR(AND(E113, H113), AND(F113, G113))</f>
        <v>0</v>
      </c>
      <c r="O113" s="2" t="b">
        <f>AND(E113, G113)</f>
        <v>0</v>
      </c>
      <c r="P113" s="2" t="b">
        <f>AND(F113, G113)</f>
        <v>0</v>
      </c>
      <c r="Q113" s="2" t="b">
        <f>AND(F113, H113)</f>
        <v>1</v>
      </c>
      <c r="R113" s="2" t="b">
        <f>AND(E113, H113)</f>
        <v>0</v>
      </c>
      <c r="T113" s="2">
        <f>SUM(B113, C113)</f>
        <v>116</v>
      </c>
      <c r="U113" s="2" t="b">
        <f t="shared" si="4"/>
        <v>0</v>
      </c>
      <c r="V113" s="2" t="b">
        <f t="shared" si="5"/>
        <v>1</v>
      </c>
      <c r="W113" s="2" t="str">
        <f t="shared" si="6"/>
        <v/>
      </c>
      <c r="X113" s="2">
        <f t="shared" si="7"/>
        <v>116</v>
      </c>
      <c r="Y113" s="2" t="b">
        <f>AND(ISODD(B113),ISODD(T113))</f>
        <v>0</v>
      </c>
      <c r="Z113" s="2" t="b">
        <f>AND(ISODD(B113),ISEVEN(T113))</f>
        <v>0</v>
      </c>
      <c r="AA113" s="2" t="b">
        <f>AND(ISEVEN(B113),ISODD(T113))</f>
        <v>0</v>
      </c>
      <c r="AB113" s="2" t="b">
        <f>AND(ISEVEN(B113),ISEVEN(T113))</f>
        <v>1</v>
      </c>
      <c r="AC113" s="2" t="str">
        <f>IF(AND(ISODD(B113),ISODD(T113)), B113, "")</f>
        <v/>
      </c>
      <c r="AD113" s="2" t="str">
        <f>IF(AND(ISODD(B113),ISEVEN(T113)), B113, "")</f>
        <v/>
      </c>
      <c r="AE113" s="2" t="str">
        <f>IF(AND(ISEVEN(B113),ISODD(T113)), B113, "")</f>
        <v/>
      </c>
      <c r="AF113" s="2">
        <f>IF(AND(ISEVEN(B113),ISEVEN(T113)), B113, "")</f>
        <v>112</v>
      </c>
      <c r="AG113" s="2" t="str">
        <f>IF(AND(ISODD(C113),ISODD(T113)), C113, "")</f>
        <v/>
      </c>
      <c r="AH113" s="2" t="str">
        <f>IF(AND(ISODD(C113),ISEVEN(T113)), C113, "")</f>
        <v/>
      </c>
      <c r="AI113" s="2" t="str">
        <f>IF(AND(ISEVEN(C113),ISODD(T113)), C113, "")</f>
        <v/>
      </c>
      <c r="AJ113" s="2">
        <f>IF(AND(ISEVEN(C113),ISEVEN(T113)), C113, "")</f>
        <v>4</v>
      </c>
      <c r="AK113" s="2" t="str">
        <f>IF(U113,B113, "")</f>
        <v/>
      </c>
      <c r="AL113" s="2">
        <f>IF(V113, B113, "")</f>
        <v>112</v>
      </c>
      <c r="AM113" s="2" t="str">
        <f>IF(U113, C113, "")</f>
        <v/>
      </c>
      <c r="AN113" s="2">
        <f>IF(V113, C113, "")</f>
        <v>4</v>
      </c>
    </row>
    <row r="114" spans="1:40" x14ac:dyDescent="0.25">
      <c r="B114" s="2">
        <v>113</v>
      </c>
      <c r="C114" s="2">
        <v>5</v>
      </c>
      <c r="E114" s="2" t="b">
        <f>ISODD(B114)</f>
        <v>1</v>
      </c>
      <c r="F114" s="2" t="b">
        <f>ISEVEN(B114)</f>
        <v>0</v>
      </c>
      <c r="G114" s="2" t="b">
        <f>ISODD(C114)</f>
        <v>1</v>
      </c>
      <c r="H114" s="2" t="b">
        <f>ISEVEN(C114)</f>
        <v>0</v>
      </c>
      <c r="I114" s="2">
        <f>IF(E114, B114, "")</f>
        <v>113</v>
      </c>
      <c r="J114" s="2" t="str">
        <f>IF(F114, B114, "")</f>
        <v/>
      </c>
      <c r="K114" s="2">
        <f>IF(G114, C114, "")</f>
        <v>5</v>
      </c>
      <c r="L114" s="2" t="str">
        <f>IF(H114, C114, "")</f>
        <v/>
      </c>
      <c r="M114" s="2" t="b">
        <f>OR(AND(E114, G114), AND(F114, H114))</f>
        <v>1</v>
      </c>
      <c r="N114" s="2" t="b">
        <f>OR(AND(E114, H114), AND(F114, G114))</f>
        <v>0</v>
      </c>
      <c r="O114" s="2" t="b">
        <f>AND(E114, G114)</f>
        <v>1</v>
      </c>
      <c r="P114" s="2" t="b">
        <f>AND(F114, G114)</f>
        <v>0</v>
      </c>
      <c r="Q114" s="2" t="b">
        <f>AND(F114, H114)</f>
        <v>0</v>
      </c>
      <c r="R114" s="2" t="b">
        <f>AND(E114, H114)</f>
        <v>0</v>
      </c>
      <c r="T114" s="2">
        <f>SUM(B114, C114)</f>
        <v>118</v>
      </c>
      <c r="U114" s="2" t="b">
        <f t="shared" si="4"/>
        <v>0</v>
      </c>
      <c r="V114" s="2" t="b">
        <f t="shared" si="5"/>
        <v>1</v>
      </c>
      <c r="W114" s="2" t="str">
        <f t="shared" si="6"/>
        <v/>
      </c>
      <c r="X114" s="2">
        <f t="shared" si="7"/>
        <v>118</v>
      </c>
      <c r="Y114" s="2" t="b">
        <f>AND(ISODD(B114),ISODD(T114))</f>
        <v>0</v>
      </c>
      <c r="Z114" s="2" t="b">
        <f>AND(ISODD(B114),ISEVEN(T114))</f>
        <v>1</v>
      </c>
      <c r="AA114" s="2" t="b">
        <f>AND(ISEVEN(B114),ISODD(T114))</f>
        <v>0</v>
      </c>
      <c r="AB114" s="2" t="b">
        <f>AND(ISEVEN(B114),ISEVEN(T114))</f>
        <v>0</v>
      </c>
      <c r="AC114" s="2" t="str">
        <f>IF(AND(ISODD(B114),ISODD(T114)), B114, "")</f>
        <v/>
      </c>
      <c r="AD114" s="2">
        <f>IF(AND(ISODD(B114),ISEVEN(T114)), B114, "")</f>
        <v>113</v>
      </c>
      <c r="AE114" s="2" t="str">
        <f>IF(AND(ISEVEN(B114),ISODD(T114)), B114, "")</f>
        <v/>
      </c>
      <c r="AF114" s="2" t="str">
        <f>IF(AND(ISEVEN(B114),ISEVEN(T114)), B114, "")</f>
        <v/>
      </c>
      <c r="AG114" s="2" t="str">
        <f>IF(AND(ISODD(C114),ISODD(T114)), C114, "")</f>
        <v/>
      </c>
      <c r="AH114" s="2">
        <f>IF(AND(ISODD(C114),ISEVEN(T114)), C114, "")</f>
        <v>5</v>
      </c>
      <c r="AI114" s="2" t="str">
        <f>IF(AND(ISEVEN(C114),ISODD(T114)), C114, "")</f>
        <v/>
      </c>
      <c r="AJ114" s="2" t="str">
        <f>IF(AND(ISEVEN(C114),ISEVEN(T114)), C114, "")</f>
        <v/>
      </c>
      <c r="AK114" s="2" t="str">
        <f>IF(U114,B114, "")</f>
        <v/>
      </c>
      <c r="AL114" s="2">
        <f>IF(V114, B114, "")</f>
        <v>113</v>
      </c>
      <c r="AM114" s="2" t="str">
        <f>IF(U114, C114, "")</f>
        <v/>
      </c>
      <c r="AN114" s="2">
        <f>IF(V114, C114, "")</f>
        <v>5</v>
      </c>
    </row>
    <row r="115" spans="1:40" x14ac:dyDescent="0.25">
      <c r="B115" s="2">
        <v>114</v>
      </c>
      <c r="C115" s="2">
        <v>6</v>
      </c>
      <c r="E115" s="2" t="b">
        <f>ISODD(B115)</f>
        <v>0</v>
      </c>
      <c r="F115" s="2" t="b">
        <f>ISEVEN(B115)</f>
        <v>1</v>
      </c>
      <c r="G115" s="2" t="b">
        <f>ISODD(C115)</f>
        <v>0</v>
      </c>
      <c r="H115" s="2" t="b">
        <f>ISEVEN(C115)</f>
        <v>1</v>
      </c>
      <c r="I115" s="2" t="str">
        <f>IF(E115, B115, "")</f>
        <v/>
      </c>
      <c r="J115" s="2">
        <f>IF(F115, B115, "")</f>
        <v>114</v>
      </c>
      <c r="K115" s="2" t="str">
        <f>IF(G115, C115, "")</f>
        <v/>
      </c>
      <c r="L115" s="2">
        <f>IF(H115, C115, "")</f>
        <v>6</v>
      </c>
      <c r="M115" s="2" t="b">
        <f>OR(AND(E115, G115), AND(F115, H115))</f>
        <v>1</v>
      </c>
      <c r="N115" s="2" t="b">
        <f>OR(AND(E115, H115), AND(F115, G115))</f>
        <v>0</v>
      </c>
      <c r="O115" s="2" t="b">
        <f>AND(E115, G115)</f>
        <v>0</v>
      </c>
      <c r="P115" s="2" t="b">
        <f>AND(F115, G115)</f>
        <v>0</v>
      </c>
      <c r="Q115" s="2" t="b">
        <f>AND(F115, H115)</f>
        <v>1</v>
      </c>
      <c r="R115" s="2" t="b">
        <f>AND(E115, H115)</f>
        <v>0</v>
      </c>
      <c r="T115" s="2">
        <f>SUM(B115, C115)</f>
        <v>120</v>
      </c>
      <c r="U115" s="2" t="b">
        <f t="shared" si="4"/>
        <v>0</v>
      </c>
      <c r="V115" s="2" t="b">
        <f t="shared" si="5"/>
        <v>1</v>
      </c>
      <c r="W115" s="2" t="str">
        <f t="shared" si="6"/>
        <v/>
      </c>
      <c r="X115" s="2">
        <f t="shared" si="7"/>
        <v>120</v>
      </c>
      <c r="Y115" s="2" t="b">
        <f>AND(ISODD(B115),ISODD(T115))</f>
        <v>0</v>
      </c>
      <c r="Z115" s="2" t="b">
        <f>AND(ISODD(B115),ISEVEN(T115))</f>
        <v>0</v>
      </c>
      <c r="AA115" s="2" t="b">
        <f>AND(ISEVEN(B115),ISODD(T115))</f>
        <v>0</v>
      </c>
      <c r="AB115" s="2" t="b">
        <f>AND(ISEVEN(B115),ISEVEN(T115))</f>
        <v>1</v>
      </c>
      <c r="AC115" s="2" t="str">
        <f>IF(AND(ISODD(B115),ISODD(T115)), B115, "")</f>
        <v/>
      </c>
      <c r="AD115" s="2" t="str">
        <f>IF(AND(ISODD(B115),ISEVEN(T115)), B115, "")</f>
        <v/>
      </c>
      <c r="AE115" s="2" t="str">
        <f>IF(AND(ISEVEN(B115),ISODD(T115)), B115, "")</f>
        <v/>
      </c>
      <c r="AF115" s="2">
        <f>IF(AND(ISEVEN(B115),ISEVEN(T115)), B115, "")</f>
        <v>114</v>
      </c>
      <c r="AG115" s="2" t="str">
        <f>IF(AND(ISODD(C115),ISODD(T115)), C115, "")</f>
        <v/>
      </c>
      <c r="AH115" s="2" t="str">
        <f>IF(AND(ISODD(C115),ISEVEN(T115)), C115, "")</f>
        <v/>
      </c>
      <c r="AI115" s="2" t="str">
        <f>IF(AND(ISEVEN(C115),ISODD(T115)), C115, "")</f>
        <v/>
      </c>
      <c r="AJ115" s="2">
        <f>IF(AND(ISEVEN(C115),ISEVEN(T115)), C115, "")</f>
        <v>6</v>
      </c>
      <c r="AK115" s="2" t="str">
        <f>IF(U115,B115, "")</f>
        <v/>
      </c>
      <c r="AL115" s="2">
        <f>IF(V115, B115, "")</f>
        <v>114</v>
      </c>
      <c r="AM115" s="2" t="str">
        <f>IF(U115, C115, "")</f>
        <v/>
      </c>
      <c r="AN115" s="2">
        <f>IF(V115, C115, "")</f>
        <v>6</v>
      </c>
    </row>
    <row r="116" spans="1:40" s="1" customFormat="1" x14ac:dyDescent="0.25">
      <c r="A116" s="1" t="s">
        <v>12</v>
      </c>
      <c r="B116" s="1">
        <f>SUM(B2:B115)</f>
        <v>6555</v>
      </c>
      <c r="C116" s="1">
        <f>SUM(C2:C115)</f>
        <v>6236</v>
      </c>
      <c r="E116" s="1">
        <f>COUNTIF(E2:E115, TRUE)</f>
        <v>57</v>
      </c>
      <c r="F116" s="1">
        <f>COUNTIF(F2:F115, TRUE)</f>
        <v>57</v>
      </c>
      <c r="G116" s="1">
        <f>COUNTIF(G2:G115, TRUE)</f>
        <v>54</v>
      </c>
      <c r="H116" s="1">
        <f>COUNTIF(H2:H115, TRUE)</f>
        <v>60</v>
      </c>
      <c r="I116" s="1">
        <f>SUM(I2:I115)</f>
        <v>3249</v>
      </c>
      <c r="J116" s="1">
        <f>SUM(J2:J115)</f>
        <v>3306</v>
      </c>
      <c r="K116" s="1">
        <f>SUM(K2:K115)</f>
        <v>2722</v>
      </c>
      <c r="L116" s="1">
        <f>SUM(L2:L115)</f>
        <v>3514</v>
      </c>
      <c r="M116" s="1">
        <f>COUNTIF(M2:M115, TRUE)</f>
        <v>57</v>
      </c>
      <c r="N116" s="1">
        <f>COUNTIF(N2:N115, TRUE)</f>
        <v>57</v>
      </c>
      <c r="O116" s="1">
        <f>COUNTIF(O2:O115, TRUE)</f>
        <v>27</v>
      </c>
      <c r="P116" s="1">
        <f>COUNTIF(P2:P115, TRUE)</f>
        <v>27</v>
      </c>
      <c r="Q116" s="1">
        <f>COUNTIF(Q2:Q115, TRUE)</f>
        <v>30</v>
      </c>
      <c r="R116" s="1">
        <f>COUNTIF(R2:R115, TRUE)</f>
        <v>30</v>
      </c>
      <c r="T116" s="1">
        <f>SUM(T2:T115)</f>
        <v>12791</v>
      </c>
      <c r="U116" s="1">
        <f>COUNTIF(U2:U115, TRUE)</f>
        <v>57</v>
      </c>
      <c r="V116" s="1">
        <f>COUNTIF(V2:V115, TRUE)</f>
        <v>57</v>
      </c>
      <c r="W116" s="1">
        <f>SUM(W2:W115)</f>
        <v>6555</v>
      </c>
      <c r="X116" s="1">
        <f>SUM(X2:X115)</f>
        <v>6236</v>
      </c>
      <c r="Y116" s="1">
        <f>COUNTIF(Y2:Y115, TRUE)</f>
        <v>30</v>
      </c>
      <c r="Z116" s="1">
        <f>COUNTIF(Z2:Z115, TRUE)</f>
        <v>27</v>
      </c>
      <c r="AA116" s="1">
        <f>COUNTIF(AA2:AA115, TRUE)</f>
        <v>27</v>
      </c>
      <c r="AB116" s="1">
        <f>COUNTIF(AB2:AB115, TRUE)</f>
        <v>30</v>
      </c>
      <c r="AC116" s="1">
        <f>SUM(AC2:AC115)</f>
        <v>1698</v>
      </c>
      <c r="AD116" s="1">
        <f>SUM(AD2:AD115)</f>
        <v>1551</v>
      </c>
      <c r="AE116" s="1">
        <f>SUM(AE2:AE115)</f>
        <v>1554</v>
      </c>
      <c r="AF116" s="1">
        <f>SUM(AF2:AF115)</f>
        <v>1752</v>
      </c>
      <c r="AG116" s="1">
        <f>SUM(AG2:AG115)</f>
        <v>1497</v>
      </c>
      <c r="AH116" s="1">
        <f>SUM(AH2:AH115)</f>
        <v>1225</v>
      </c>
      <c r="AI116" s="1">
        <f>SUM(AI2:AI115)</f>
        <v>1806</v>
      </c>
      <c r="AJ116" s="1">
        <f>SUM(AJ2:AJ115)</f>
        <v>1708</v>
      </c>
      <c r="AK116" s="1">
        <f>SUM(AK2:AK115)</f>
        <v>3252</v>
      </c>
      <c r="AL116" s="1">
        <f>SUM(AL2:AL115)</f>
        <v>3303</v>
      </c>
      <c r="AM116" s="1">
        <f>SUM(AM2:AM115)</f>
        <v>3303</v>
      </c>
      <c r="AN116" s="1">
        <f>SUM(AN2:AN115)</f>
        <v>2933</v>
      </c>
    </row>
    <row r="121" spans="1:40" s="4" customFormat="1" x14ac:dyDescent="0.25">
      <c r="A121" s="5" t="s">
        <v>18</v>
      </c>
    </row>
    <row r="122" spans="1:40" s="4" customFormat="1" x14ac:dyDescent="0.25">
      <c r="A122" s="5" t="str">
        <f>"Sum of Chapters: "&amp;B116</f>
        <v>Sum of Chapters: 6555</v>
      </c>
    </row>
    <row r="123" spans="1:40" s="4" customFormat="1" x14ac:dyDescent="0.25">
      <c r="A123" s="3" t="str">
        <f>"Number of Verses: "&amp;C116</f>
        <v>Number of Verses: 6236</v>
      </c>
    </row>
    <row r="124" spans="1:40" s="4" customFormat="1" x14ac:dyDescent="0.25">
      <c r="A124" s="3"/>
    </row>
    <row r="125" spans="1:40" s="4" customFormat="1" x14ac:dyDescent="0.25">
      <c r="A125" s="3" t="str">
        <f>"Number of Odd Chapters: "&amp;E116</f>
        <v>Number of Odd Chapters: 57</v>
      </c>
    </row>
    <row r="126" spans="1:40" s="4" customFormat="1" x14ac:dyDescent="0.25">
      <c r="A126" s="3" t="str">
        <f>"Number of Even Chapters: "&amp;F116</f>
        <v>Number of Even Chapters: 57</v>
      </c>
    </row>
    <row r="127" spans="1:40" s="4" customFormat="1" x14ac:dyDescent="0.25">
      <c r="A127" s="3" t="str">
        <f>"Number of Odd Verses: "&amp;G116</f>
        <v>Number of Odd Verses: 54</v>
      </c>
    </row>
    <row r="128" spans="1:40" s="4" customFormat="1" x14ac:dyDescent="0.25">
      <c r="A128" s="3" t="str">
        <f>"Number of Even Verses: "&amp;H116</f>
        <v>Number of Even Verses: 60</v>
      </c>
    </row>
    <row r="129" spans="1:1" s="4" customFormat="1" x14ac:dyDescent="0.25">
      <c r="A129" s="3"/>
    </row>
    <row r="130" spans="1:1" s="4" customFormat="1" x14ac:dyDescent="0.25">
      <c r="A130" s="3" t="str">
        <f>"Number of Homogenous Chapters (Both Odd or Both Even): "&amp;M116</f>
        <v>Number of Homogenous Chapters (Both Odd or Both Even): 57</v>
      </c>
    </row>
    <row r="131" spans="1:1" s="4" customFormat="1" x14ac:dyDescent="0.25">
      <c r="A131" s="3" t="str">
        <f>"          Odd Chapter, Odd Verse: "&amp;O116</f>
        <v xml:space="preserve">          Odd Chapter, Odd Verse: 27</v>
      </c>
    </row>
    <row r="132" spans="1:1" s="4" customFormat="1" x14ac:dyDescent="0.25">
      <c r="A132" s="3" t="str">
        <f>"          Even Chapter, Even Verse: "&amp;Q116</f>
        <v xml:space="preserve">          Even Chapter, Even Verse: 30</v>
      </c>
    </row>
    <row r="133" spans="1:1" s="4" customFormat="1" x14ac:dyDescent="0.25">
      <c r="A133" s="3" t="str">
        <f>"Number of Heterogeneous Chapters (One is Odd and the other is Even): "&amp;N116</f>
        <v>Number of Heterogeneous Chapters (One is Odd and the other is Even): 57</v>
      </c>
    </row>
    <row r="134" spans="1:1" s="4" customFormat="1" x14ac:dyDescent="0.25">
      <c r="A134" s="3" t="str">
        <f>"          Odd Chapter, Even Verse: "&amp;R116</f>
        <v xml:space="preserve">          Odd Chapter, Even Verse: 30</v>
      </c>
    </row>
    <row r="135" spans="1:1" s="4" customFormat="1" x14ac:dyDescent="0.25">
      <c r="A135" s="3" t="str">
        <f>"          Even Chapter, Odd Verse: "&amp;P116</f>
        <v xml:space="preserve">          Even Chapter, Odd Verse: 27</v>
      </c>
    </row>
    <row r="136" spans="1:1" s="4" customFormat="1" x14ac:dyDescent="0.25">
      <c r="A136" s="3"/>
    </row>
    <row r="137" spans="1:1" s="4" customFormat="1" x14ac:dyDescent="0.25">
      <c r="A137" s="3" t="str">
        <f>"Sum of Chapter and Verse Sums: "&amp;T116&amp;" ("&amp;IF(ISPRIME(T116), "Prime Number", "Not a Prime Number")&amp;")"</f>
        <v>Sum of Chapter and Verse Sums: 12791 (Prime Number)</v>
      </c>
    </row>
    <row r="138" spans="1:1" s="4" customFormat="1" x14ac:dyDescent="0.25">
      <c r="A138" s="3" t="str">
        <f>"          Number of Odd Sums: "&amp;U116</f>
        <v xml:space="preserve">          Number of Odd Sums: 57</v>
      </c>
    </row>
    <row r="139" spans="1:1" s="4" customFormat="1" x14ac:dyDescent="0.25">
      <c r="A139" s="3" t="str">
        <f>"          Number of Even Sums: "&amp;V116</f>
        <v xml:space="preserve">          Number of Even Sums: 57</v>
      </c>
    </row>
    <row r="140" spans="1:1" s="4" customFormat="1" x14ac:dyDescent="0.25">
      <c r="A140" s="3" t="str">
        <f>"          Sum of Odd Sums: "&amp;W116</f>
        <v xml:space="preserve">          Sum of Odd Sums: 6555</v>
      </c>
    </row>
    <row r="141" spans="1:1" s="4" customFormat="1" x14ac:dyDescent="0.25">
      <c r="A141" s="3" t="str">
        <f>"          Sum of Even Sums: "&amp;X116</f>
        <v xml:space="preserve">          Sum of Even Sums: 6236</v>
      </c>
    </row>
    <row r="142" spans="1:1" s="4" customFormat="1" x14ac:dyDescent="0.25">
      <c r="A142" s="3"/>
    </row>
    <row r="143" spans="1:1" s="4" customFormat="1" x14ac:dyDescent="0.25">
      <c r="A143" s="3" t="str">
        <f>"          Sum of Even Sum Chapters: "&amp;AL116</f>
        <v xml:space="preserve">          Sum of Even Sum Chapters: 3303</v>
      </c>
    </row>
    <row r="144" spans="1:1" s="4" customFormat="1" x14ac:dyDescent="0.25">
      <c r="A144" s="3" t="str">
        <f>"          Sum of Odd Sum Verses: "&amp;AM116</f>
        <v xml:space="preserve">          Sum of Odd Sum Verses: 3303</v>
      </c>
    </row>
    <row r="145" spans="1:1" s="4" customFormat="1" x14ac:dyDescent="0.25">
      <c r="A145" s="3"/>
    </row>
    <row r="146" spans="1:1" s="4" customFormat="1" x14ac:dyDescent="0.25">
      <c r="A146" s="3" t="str">
        <f>"Halfway Chapter: "&amp;B58</f>
        <v>Halfway Chapter: 57</v>
      </c>
    </row>
    <row r="147" spans="1:1" s="4" customFormat="1" x14ac:dyDescent="0.25">
      <c r="A147" s="3" t="str">
        <f>"Number of Verses in Halfway Chapter: "&amp;C58</f>
        <v>Number of Verses in Halfway Chapter: 29</v>
      </c>
    </row>
    <row r="148" spans="1:1" s="4" customFormat="1" x14ac:dyDescent="0.25">
      <c r="A148" s="3" t="str">
        <f>"Mean Chapter: "&amp;INT(AVERAGE(B2:B115))</f>
        <v>Mean Chapter: 57</v>
      </c>
    </row>
    <row r="149" spans="1:1" s="4" customFormat="1" x14ac:dyDescent="0.25">
      <c r="A149" s="3" t="str">
        <f>"Median Verse of Mean Chapter: "&amp;MEDIAN(B2:B58)</f>
        <v>Median Verse of Mean Chapter: 29</v>
      </c>
    </row>
    <row r="150" spans="1:1" s="4" customFormat="1" x14ac:dyDescent="0.25">
      <c r="A150" s="3"/>
    </row>
    <row r="151" spans="1:1" s="4" customFormat="1" x14ac:dyDescent="0.25">
      <c r="A151" s="3" t="str">
        <f>"Chapter Sum to Halfway Chapter: "&amp;SUM(B2:B58)</f>
        <v>Chapter Sum to Halfway Chapter: 1653</v>
      </c>
    </row>
    <row r="152" spans="1:1" s="4" customFormat="1" x14ac:dyDescent="0.25">
      <c r="A152" s="3" t="str">
        <f>"Halfway Chapter times its Verse Number: "&amp;B58*C58</f>
        <v>Halfway Chapter times its Verse Number: 1653</v>
      </c>
    </row>
    <row r="153" spans="1:1" s="4" customFormat="1" x14ac:dyDescent="0.25">
      <c r="A153" s="3" t="str">
        <f>"          Number of Odd Chapters in First Half: "&amp;SUMPRODUCT((E2:E58)+0)</f>
        <v xml:space="preserve">          Number of Odd Chapters in First Half: 29</v>
      </c>
    </row>
    <row r="154" spans="1:1" s="4" customFormat="1" x14ac:dyDescent="0.25">
      <c r="A154" s="3" t="str">
        <f>"          Number of Even Chapters in First Half: "&amp;SUMPRODUCT((F2:F58)+0)</f>
        <v xml:space="preserve">          Number of Even Chapters in First Half: 28</v>
      </c>
    </row>
    <row r="155" spans="1:1" s="4" customFormat="1" x14ac:dyDescent="0.25">
      <c r="A155" s="3" t="str">
        <f>"          Number of Odd Chapters in Second Half: "&amp;SUMPRODUCT((E59:E115)+0)</f>
        <v xml:space="preserve">          Number of Odd Chapters in Second Half: 28</v>
      </c>
    </row>
    <row r="156" spans="1:1" s="4" customFormat="1" x14ac:dyDescent="0.25">
      <c r="A156" s="3" t="str">
        <f>"          Number of Even Chapters in Second Half: "&amp;SUMPRODUCT((F59:F115)+0)</f>
        <v xml:space="preserve">          Number of Even Chapters in Second Half: 29</v>
      </c>
    </row>
    <row r="157" spans="1:1" s="4" customFormat="1" x14ac:dyDescent="0.25">
      <c r="A157" s="3"/>
    </row>
    <row r="158" spans="1:1" s="4" customFormat="1" x14ac:dyDescent="0.25">
      <c r="A158" s="3" t="str">
        <f>"          Number of Odd Verses in First Half: "&amp;SUMPRODUCT((G2:G58)+0)</f>
        <v xml:space="preserve">          Number of Odd Verses in First Half: 30</v>
      </c>
    </row>
    <row r="159" spans="1:1" s="4" customFormat="1" x14ac:dyDescent="0.25">
      <c r="A159" s="3" t="str">
        <f>"          Number of Even Verses in First Half: "&amp;SUMPRODUCT((H2:H58)+0)</f>
        <v xml:space="preserve">          Number of Even Verses in First Half: 27</v>
      </c>
    </row>
    <row r="160" spans="1:1" s="4" customFormat="1" x14ac:dyDescent="0.25">
      <c r="A160" s="3" t="str">
        <f>"          Number of Odd Verses in Second Half: "&amp;SUMPRODUCT((G59:G115)+0)</f>
        <v xml:space="preserve">          Number of Odd Verses in Second Half: 24</v>
      </c>
    </row>
    <row r="161" spans="1:1" s="4" customFormat="1" x14ac:dyDescent="0.25">
      <c r="A161" s="3" t="str">
        <f>"          Number of Even Verses in Second Half: "&amp;SUMPRODUCT((H59:H115)+0)</f>
        <v xml:space="preserve">          Number of Even Verses in Second Half: 33</v>
      </c>
    </row>
    <row r="162" spans="1:1" s="4" customFormat="1" x14ac:dyDescent="0.25">
      <c r="A162" s="3"/>
    </row>
    <row r="163" spans="1:1" s="4" customFormat="1" x14ac:dyDescent="0.25">
      <c r="A163" s="3" t="str">
        <f>"          Number of Homogeneous Chapters in First Half: "&amp;SUMPRODUCT((M2:M58)+0)</f>
        <v xml:space="preserve">          Number of Homogeneous Chapters in First Half: 28</v>
      </c>
    </row>
    <row r="164" spans="1:1" s="4" customFormat="1" x14ac:dyDescent="0.25">
      <c r="A164" s="3" t="str">
        <f>"          Number of Heterogeneous Chapters in First Half: "&amp;SUMPRODUCT((N2:N58)+0)</f>
        <v xml:space="preserve">          Number of Heterogeneous Chapters in First Half: 29</v>
      </c>
    </row>
    <row r="165" spans="1:1" s="4" customFormat="1" x14ac:dyDescent="0.25">
      <c r="A165" s="3" t="str">
        <f>"          Number of Homogeneous Chapters in Second Half: "&amp;SUMPRODUCT((M59:M115)+0)</f>
        <v xml:space="preserve">          Number of Homogeneous Chapters in Second Half: 29</v>
      </c>
    </row>
    <row r="166" spans="1:1" s="4" customFormat="1" x14ac:dyDescent="0.25">
      <c r="A166" s="3" t="str">
        <f>"          Number of Heterogeneous Chapters in Second Half: "&amp;SUMPRODUCT((N59:N115)+0)</f>
        <v xml:space="preserve">          Number of Heterogeneous Chapters in Second Half: 28</v>
      </c>
    </row>
    <row r="167" spans="1:1" s="4" customFormat="1" x14ac:dyDescent="0.25">
      <c r="A167" s="3"/>
    </row>
    <row r="168" spans="1:1" s="4" customFormat="1" x14ac:dyDescent="0.25">
      <c r="A168" s="3" t="str">
        <f>"          Number of Odd Sums in First Half: "&amp;SUMPRODUCT((U2:U58)+0)</f>
        <v xml:space="preserve">          Number of Odd Sums in First Half: 29</v>
      </c>
    </row>
    <row r="169" spans="1:1" s="4" customFormat="1" x14ac:dyDescent="0.25">
      <c r="A169" s="3" t="str">
        <f>"          Number of Even Sums in First Half: "&amp;SUMPRODUCT((V2:V58)+0)</f>
        <v xml:space="preserve">          Number of Even Sums in First Half: 28</v>
      </c>
    </row>
    <row r="170" spans="1:1" s="4" customFormat="1" x14ac:dyDescent="0.25">
      <c r="A170" s="3" t="str">
        <f>"          Number of Odd Sums in Second Half: "&amp;SUMPRODUCT((U59:U115)+0)</f>
        <v xml:space="preserve">          Number of Odd Sums in Second Half: 28</v>
      </c>
    </row>
    <row r="171" spans="1:1" s="4" customFormat="1" x14ac:dyDescent="0.25">
      <c r="A171" s="3" t="str">
        <f>"          Number of Even Sums in Second Half: "&amp;SUMPRODUCT((V59:V115)+0)</f>
        <v xml:space="preserve">          Number of Even Sums in Second Half: 29</v>
      </c>
    </row>
    <row r="172" spans="1:1" s="4" customFormat="1" x14ac:dyDescent="0.25">
      <c r="A172" s="3"/>
    </row>
    <row r="173" spans="1:1" s="4" customFormat="1" x14ac:dyDescent="0.25">
      <c r="A173" s="3"/>
    </row>
    <row r="174" spans="1:1" s="4" customFormat="1" x14ac:dyDescent="0.25">
      <c r="A174" s="3"/>
    </row>
    <row r="175" spans="1:1" s="4" customFormat="1" x14ac:dyDescent="0.25">
      <c r="A175" s="3"/>
    </row>
    <row r="176" spans="1:1" s="4" customFormat="1" x14ac:dyDescent="0.25">
      <c r="A176" s="3"/>
    </row>
    <row r="177" spans="1:1" s="4" customFormat="1" x14ac:dyDescent="0.25">
      <c r="A177" s="3"/>
    </row>
    <row r="178" spans="1:1" s="4" customFormat="1" x14ac:dyDescent="0.25">
      <c r="A178" s="3"/>
    </row>
    <row r="179" spans="1:1" s="4" customFormat="1" x14ac:dyDescent="0.25">
      <c r="A179" s="3"/>
    </row>
    <row r="180" spans="1:1" s="4" customFormat="1" x14ac:dyDescent="0.25">
      <c r="A180" s="3"/>
    </row>
    <row r="181" spans="1:1" s="4" customFormat="1" x14ac:dyDescent="0.25">
      <c r="A181" s="3"/>
    </row>
    <row r="182" spans="1:1" s="4" customFormat="1" x14ac:dyDescent="0.25">
      <c r="A182" s="3"/>
    </row>
    <row r="183" spans="1:1" s="4" customFormat="1" x14ac:dyDescent="0.25">
      <c r="A183" s="3"/>
    </row>
    <row r="184" spans="1:1" s="4" customFormat="1" x14ac:dyDescent="0.25">
      <c r="A184" s="3"/>
    </row>
    <row r="185" spans="1:1" s="4" customFormat="1" x14ac:dyDescent="0.25">
      <c r="A185" s="3"/>
    </row>
    <row r="186" spans="1:1" s="4" customFormat="1" x14ac:dyDescent="0.25">
      <c r="A186" s="3"/>
    </row>
    <row r="187" spans="1:1" s="4" customFormat="1" x14ac:dyDescent="0.25">
      <c r="A187" s="3"/>
    </row>
    <row r="188" spans="1:1" s="4" customFormat="1" x14ac:dyDescent="0.25">
      <c r="A188" s="3"/>
    </row>
    <row r="189" spans="1:1" s="4" customFormat="1" x14ac:dyDescent="0.25">
      <c r="A189" s="3"/>
    </row>
    <row r="190" spans="1:1" s="4" customFormat="1" x14ac:dyDescent="0.25">
      <c r="A190" s="3"/>
    </row>
    <row r="191" spans="1:1" s="4" customFormat="1" x14ac:dyDescent="0.25">
      <c r="A191" s="3"/>
    </row>
    <row r="192" spans="1:1" s="4" customFormat="1" x14ac:dyDescent="0.25">
      <c r="A192" s="3"/>
    </row>
    <row r="193" spans="1:1" s="4" customFormat="1" x14ac:dyDescent="0.25">
      <c r="A193" s="3"/>
    </row>
    <row r="194" spans="1:1" s="4" customFormat="1" x14ac:dyDescent="0.25">
      <c r="A194" s="3"/>
    </row>
    <row r="195" spans="1:1" s="4" customFormat="1" x14ac:dyDescent="0.25">
      <c r="A195" s="3"/>
    </row>
    <row r="196" spans="1:1" s="4" customFormat="1" x14ac:dyDescent="0.25">
      <c r="A196" s="3"/>
    </row>
    <row r="197" spans="1:1" s="4" customFormat="1" x14ac:dyDescent="0.25">
      <c r="A197" s="3"/>
    </row>
    <row r="198" spans="1:1" s="4" customFormat="1" x14ac:dyDescent="0.25">
      <c r="A198" s="3"/>
    </row>
    <row r="199" spans="1:1" s="4" customFormat="1" x14ac:dyDescent="0.25">
      <c r="A199" s="3"/>
    </row>
    <row r="200" spans="1:1" s="4" customFormat="1" x14ac:dyDescent="0.25">
      <c r="A200" s="3"/>
    </row>
    <row r="201" spans="1:1" s="4" customFormat="1" x14ac:dyDescent="0.25">
      <c r="A201" s="3"/>
    </row>
    <row r="202" spans="1:1" s="4" customFormat="1" x14ac:dyDescent="0.25">
      <c r="A202" s="3"/>
    </row>
    <row r="203" spans="1:1" s="4" customFormat="1" x14ac:dyDescent="0.25">
      <c r="A203" s="3"/>
    </row>
    <row r="204" spans="1:1" s="4" customFormat="1" x14ac:dyDescent="0.25">
      <c r="A204" s="3"/>
    </row>
    <row r="205" spans="1:1" s="4" customFormat="1" x14ac:dyDescent="0.25">
      <c r="A205" s="3"/>
    </row>
    <row r="206" spans="1:1" s="4" customFormat="1" x14ac:dyDescent="0.25">
      <c r="A206" s="3"/>
    </row>
    <row r="207" spans="1:1" s="4" customFormat="1" x14ac:dyDescent="0.25">
      <c r="A207" s="3"/>
    </row>
  </sheetData>
  <pageMargins left="0.7" right="0.7" top="0.75" bottom="0.75" header="0.3" footer="0.3"/>
  <pageSetup orientation="portrait" r:id="rId1"/>
  <ignoredErrors>
    <ignoredError sqref="A151 A149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2018-07-21T21:15:24Z</dcterms:created>
  <dcterms:modified xsi:type="dcterms:W3CDTF">2018-07-22T08:22:34Z</dcterms:modified>
</cp:coreProperties>
</file>